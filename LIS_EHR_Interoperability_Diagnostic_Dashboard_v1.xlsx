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fd779ae35ae5966/Desktop/excel/GitHub/"/>
    </mc:Choice>
  </mc:AlternateContent>
  <xr:revisionPtr revIDLastSave="80" documentId="8_{A04FE9A0-DD9C-44AF-A8D1-746C3BCC64B4}" xr6:coauthVersionLast="47" xr6:coauthVersionMax="47" xr10:uidLastSave="{41B0BB25-25A1-48AA-894E-691D210DD8F7}"/>
  <bookViews>
    <workbookView xWindow="-98" yWindow="-98" windowWidth="21795" windowHeight="12975" tabRatio="748" xr2:uid="{E6A3E5B0-F6E4-4DEA-99CE-993566827820}"/>
  </bookViews>
  <sheets>
    <sheet name="Analyzer Dashboard" sheetId="3" r:id="rId1"/>
    <sheet name="Pivots" sheetId="12" r:id="rId2"/>
    <sheet name="Lab_Data" sheetId="10" r:id="rId3"/>
    <sheet name="Machine_SLA" sheetId="2" r:id="rId4"/>
  </sheets>
  <definedNames>
    <definedName name="_xlcn.WorksheetConnection_AnalyzerTATDiagnosticTool.xlsxLab_Data1" hidden="1">Lab_Data[]</definedName>
    <definedName name="_xlcn.WorksheetConnection_TurnaroundTimeTATDiagnosticTool.xlsxMachine_SLA1" hidden="1">Machine_SLA[]</definedName>
    <definedName name="ExternalData_1" localSheetId="2" hidden="1">Lab_Data!$A$3:$K$1003</definedName>
    <definedName name="Slicer_Analyzer_Modul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chine_SLA" name="Machine_SLA" connection="WorksheetConnection_Turnaround Time (TAT) Diagnostic Tool.xlsx!Machine_SLA"/>
          <x15:modelTable id="Lab_Data" name="Lab_Data" connection="WorksheetConnection_Analyzer TAT Diagnostic Tool.xlsx!Lab_Data"/>
        </x15:modelTables>
        <x15:modelRelationships>
          <x15:modelRelationship fromTable="Lab_Data" fromColumn="Analyzer Module" toTable="Machine_SLA" toColumn="Analyzer Modul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 i="12" l="1"/>
  <c r="J50" i="12"/>
  <c r="K50" i="12"/>
  <c r="J51" i="12"/>
  <c r="K51" i="12"/>
  <c r="I51" i="12"/>
  <c r="I50" i="12"/>
  <c r="J37" i="12"/>
  <c r="J38" i="12"/>
  <c r="J36" i="12"/>
  <c r="I37" i="12"/>
  <c r="I38" i="12"/>
  <c r="I36" i="12"/>
  <c r="H37" i="12"/>
  <c r="H38" i="12"/>
  <c r="K36" i="12"/>
  <c r="K37" i="12"/>
  <c r="K38" i="12"/>
  <c r="J40" i="12"/>
  <c r="I40" i="12"/>
  <c r="H40" i="12"/>
  <c r="G31" i="12"/>
  <c r="F31" i="12"/>
  <c r="N4" i="3" s="1"/>
  <c r="G30" i="12"/>
  <c r="F30" i="12"/>
  <c r="S4" i="3" s="1"/>
  <c r="G19" i="12"/>
  <c r="D4" i="3" s="1"/>
  <c r="F19" i="12"/>
  <c r="G18" i="12"/>
  <c r="F18" i="12"/>
  <c r="I4" i="3" s="1"/>
  <c r="F25" i="12"/>
  <c r="N2" i="3" s="1"/>
  <c r="F24" i="12"/>
  <c r="S2" i="3" s="1"/>
  <c r="G25" i="12"/>
  <c r="G24" i="12"/>
  <c r="G12" i="12"/>
  <c r="G13" i="12"/>
  <c r="D2" i="3" s="1"/>
  <c r="F13" i="12"/>
  <c r="F12" i="12"/>
  <c r="I2" i="3" s="1"/>
  <c r="AR25" i="3"/>
  <c r="AP25" i="3"/>
  <c r="AN25" i="3"/>
  <c r="AQ25" i="3"/>
  <c r="AQ23" i="3"/>
  <c r="AO25" i="3"/>
  <c r="AM25" i="3"/>
  <c r="AR23" i="3"/>
  <c r="AP23" i="3"/>
  <c r="AO23" i="3"/>
  <c r="AN23" i="3"/>
  <c r="AM23" i="3"/>
  <c r="L36" i="12" l="1" a="1"/>
  <c r="L36" i="12" s="1"/>
  <c r="M36" i="12" s="1"/>
  <c r="L38" i="12" a="1"/>
  <c r="L38" i="12" s="1"/>
  <c r="N38" i="12" s="1"/>
  <c r="L37" i="12" a="1"/>
  <c r="L37" i="12" s="1"/>
  <c r="M37" i="12" s="1"/>
  <c r="M38" i="12" l="1"/>
  <c r="N36" i="12"/>
  <c r="N37"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9289AC-E504-4E44-BEC7-E3C18756C19D}" keepAlive="1" name="Query - healthcare_laboratory_data" description="Connection to the 'healthcare_laboratory_data' query in the workbook." type="5" refreshedVersion="8" background="1" saveData="1">
    <dbPr connection="Provider=Microsoft.Mashup.OleDb.1;Data Source=$Workbook$;Location=healthcare_laboratory_data;Extended Properties=&quot;&quot;" command="SELECT * FROM [healthcare_laboratory_data]"/>
  </connection>
  <connection id="2" xr16:uid="{EDAF0994-26EC-4F54-BA39-0A27DE587A1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20523EF-E8E3-4C50-8768-081C3A5727A2}" name="WorksheetConnection_Analyzer TAT Diagnostic Tool.xlsx!Lab_Data" type="102" refreshedVersion="8" minRefreshableVersion="5">
    <extLst>
      <ext xmlns:x15="http://schemas.microsoft.com/office/spreadsheetml/2010/11/main" uri="{DE250136-89BD-433C-8126-D09CA5730AF9}">
        <x15:connection id="Lab_Data" autoDelete="1">
          <x15:rangePr sourceName="_xlcn.WorksheetConnection_AnalyzerTATDiagnosticTool.xlsxLab_Data1"/>
        </x15:connection>
      </ext>
    </extLst>
  </connection>
  <connection id="4" xr16:uid="{5A335CB3-45EE-44A2-8497-359BB900EF60}" name="WorksheetConnection_Turnaround Time (TAT) Diagnostic Tool.xlsx!Machine_SLA" type="102" refreshedVersion="8" minRefreshableVersion="5">
    <extLst>
      <ext xmlns:x15="http://schemas.microsoft.com/office/spreadsheetml/2010/11/main" uri="{DE250136-89BD-433C-8126-D09CA5730AF9}">
        <x15:connection id="Machine_SLA">
          <x15:rangePr sourceName="_xlcn.WorksheetConnection_TurnaroundTimeTATDiagnosticTool.xlsxMachine_SL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<sst xmlns="http://schemas.openxmlformats.org/spreadsheetml/2006/main" count="8182" uniqueCount="1087">
  <si>
    <t>Transaction_Date</t>
  </si>
  <si>
    <t>Valid</t>
  </si>
  <si>
    <t>Yes</t>
  </si>
  <si>
    <t>No</t>
  </si>
  <si>
    <t>v4.2</t>
  </si>
  <si>
    <t>v2.1</t>
  </si>
  <si>
    <t>v5.0</t>
  </si>
  <si>
    <t>Laboratory Data</t>
  </si>
  <si>
    <t>Analyzer Information</t>
  </si>
  <si>
    <t>Sample Count</t>
  </si>
  <si>
    <t>Total Processing Time (Min)</t>
  </si>
  <si>
    <t>Row Labels</t>
  </si>
  <si>
    <t>Grand Total</t>
  </si>
  <si>
    <t>Sample Count2</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</si>
  <si>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</si>
  <si>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</si>
  <si>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</si>
  <si>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</si>
  <si>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</si>
  <si>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</si>
  <si>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</si>
  <si>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</si>
  <si>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</si>
  <si>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</si>
  <si>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</si>
  <si>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</si>
  <si>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</si>
  <si>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</si>
  <si>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</si>
  <si>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</si>
  <si>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</si>
  <si>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</si>
  <si>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</si>
  <si>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</si>
  <si>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</si>
  <si>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</si>
  <si>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</si>
  <si>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</si>
  <si>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</si>
  <si>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</si>
  <si>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</si>
  <si>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</si>
  <si>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</si>
  <si>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</si>
  <si>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</si>
  <si>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</si>
  <si>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</si>
  <si>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</si>
  <si>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</si>
  <si>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</si>
  <si>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</si>
  <si>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</si>
  <si>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</si>
  <si>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</si>
  <si>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</si>
  <si>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</si>
  <si>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</si>
  <si>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</si>
  <si>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</si>
  <si>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</si>
  <si>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</si>
  <si>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</si>
  <si>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</si>
  <si>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</si>
  <si>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</si>
  <si>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</si>
  <si>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</si>
  <si>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</si>
  <si>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</si>
  <si>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</si>
  <si>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</si>
  <si>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</si>
  <si>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</si>
  <si>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</si>
  <si>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</si>
  <si>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</si>
  <si>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</si>
  <si>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</si>
  <si>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</si>
  <si>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</si>
  <si>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</si>
  <si>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</si>
  <si>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</si>
  <si>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</si>
  <si>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</si>
  <si>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</si>
  <si>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</si>
  <si>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</si>
  <si>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</si>
  <si>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</si>
  <si>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</si>
  <si>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</si>
  <si>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</si>
  <si>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</si>
  <si>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</si>
  <si>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</si>
  <si>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</si>
  <si>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</si>
  <si>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</si>
  <si>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</si>
  <si>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</si>
  <si>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</si>
  <si>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</si>
  <si>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</si>
  <si>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</si>
  <si>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</si>
  <si>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</si>
  <si>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</si>
  <si>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</si>
  <si>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</si>
  <si>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</si>
  <si>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</si>
  <si>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</si>
  <si>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</si>
  <si>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</si>
  <si>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</si>
  <si>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</si>
  <si>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</si>
  <si>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</si>
  <si>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</si>
  <si>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</si>
  <si>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</si>
  <si>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</si>
  <si>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</si>
  <si>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</si>
  <si>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</si>
  <si>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</si>
  <si>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</si>
  <si>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</si>
  <si>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</si>
  <si>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</si>
  <si>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</si>
  <si>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</si>
  <si>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</si>
  <si>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</si>
  <si>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</si>
  <si>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</si>
  <si>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</si>
  <si>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</si>
  <si>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</si>
  <si>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</si>
  <si>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</si>
  <si>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</si>
  <si>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</si>
  <si>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</si>
  <si>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</si>
  <si>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</si>
  <si>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</si>
  <si>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</si>
  <si>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</si>
  <si>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</si>
  <si>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</si>
  <si>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</si>
  <si>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</si>
  <si>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</si>
  <si>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</si>
  <si>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</si>
  <si>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</si>
  <si>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</si>
  <si>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</si>
  <si>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</si>
  <si>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</si>
  <si>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</si>
  <si>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</si>
  <si>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</si>
  <si>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</si>
  <si>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</si>
  <si>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</si>
  <si>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</si>
  <si>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</si>
  <si>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</si>
  <si>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</si>
  <si>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</si>
  <si>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</si>
  <si>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</si>
  <si>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</si>
  <si>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</si>
  <si>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</si>
  <si>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</si>
  <si>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</si>
  <si>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</si>
  <si>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</si>
  <si>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</si>
  <si>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</si>
  <si>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</si>
  <si>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</si>
  <si>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</si>
  <si>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</si>
  <si>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</si>
  <si>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</si>
  <si>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</si>
  <si>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</si>
  <si>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</si>
  <si>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</si>
  <si>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</si>
  <si>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</si>
  <si>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</si>
  <si>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</si>
  <si>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</si>
  <si>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</si>
  <si>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</si>
  <si>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</si>
  <si>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</si>
  <si>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</si>
  <si>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</si>
  <si>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</si>
  <si>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</si>
  <si>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</si>
  <si>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</si>
  <si>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</si>
  <si>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</si>
  <si>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</si>
  <si>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</si>
  <si>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</si>
  <si>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</si>
  <si>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</si>
  <si>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</si>
  <si>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</si>
  <si>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</si>
  <si>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</si>
  <si>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</si>
  <si>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</si>
  <si>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</si>
  <si>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</si>
  <si>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</si>
  <si>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</si>
  <si>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</si>
  <si>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</si>
  <si>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</si>
  <si>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</si>
  <si>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</si>
  <si>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</si>
  <si>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</si>
  <si>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</si>
  <si>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</si>
  <si>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</si>
  <si>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</si>
  <si>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</si>
  <si>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</si>
  <si>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</si>
  <si>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</si>
  <si>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</si>
  <si>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</si>
  <si>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</si>
  <si>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</si>
  <si>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</si>
  <si>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</si>
  <si>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</si>
  <si>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</si>
  <si>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</si>
  <si>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</si>
  <si>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</si>
  <si>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</si>
  <si>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</si>
  <si>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</si>
  <si>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</si>
  <si>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</si>
  <si>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</si>
  <si>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</si>
  <si>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</si>
  <si>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</si>
  <si>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</si>
  <si>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</si>
  <si>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</si>
  <si>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</si>
  <si>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</si>
  <si>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</si>
  <si>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</si>
  <si>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</si>
  <si>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</si>
  <si>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</si>
  <si>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</si>
  <si>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</si>
  <si>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</si>
  <si>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</si>
  <si>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</si>
  <si>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</si>
  <si>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</si>
  <si>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</si>
  <si>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</si>
  <si>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</si>
  <si>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</si>
  <si>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</si>
  <si>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</si>
  <si>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</si>
  <si>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</si>
  <si>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</si>
  <si>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</si>
  <si>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</si>
  <si>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</si>
  <si>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</si>
  <si>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</si>
  <si>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</si>
  <si>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</si>
  <si>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</si>
  <si>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</si>
  <si>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</si>
  <si>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</si>
  <si>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</si>
  <si>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</si>
  <si>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</si>
  <si>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</si>
  <si>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</si>
  <si>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</si>
  <si>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</si>
  <si>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</si>
  <si>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</si>
  <si>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</si>
  <si>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</si>
  <si>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</si>
  <si>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</si>
  <si>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</si>
  <si>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</si>
  <si>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</si>
  <si>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</si>
  <si>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</si>
  <si>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</si>
  <si>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</si>
  <si>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</si>
  <si>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</si>
  <si>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</si>
  <si>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</si>
  <si>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</si>
  <si>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</si>
  <si>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</si>
  <si>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</si>
  <si>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</si>
  <si>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</si>
  <si>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</si>
  <si>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</si>
  <si>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</si>
  <si>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</si>
  <si>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</si>
  <si>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</si>
  <si>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</si>
  <si>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</si>
  <si>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</si>
  <si>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</si>
  <si>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</si>
  <si>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</si>
  <si>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</si>
  <si>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</si>
  <si>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</si>
  <si>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</si>
  <si>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</si>
  <si>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</si>
  <si>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</si>
  <si>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</si>
  <si>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</si>
  <si>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</si>
  <si>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</si>
  <si>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</si>
  <si>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</si>
  <si>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</si>
  <si>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</si>
  <si>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</si>
  <si>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</si>
  <si>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</si>
  <si>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</si>
  <si>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</si>
  <si>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</si>
  <si>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</si>
  <si>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</si>
  <si>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</si>
  <si>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</si>
  <si>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</si>
  <si>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</si>
  <si>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</si>
  <si>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</si>
  <si>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</si>
  <si>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</si>
  <si>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</si>
  <si>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</si>
  <si>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</si>
  <si>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</si>
  <si>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</si>
  <si>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</si>
  <si>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</si>
  <si>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</si>
  <si>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</si>
  <si>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</si>
  <si>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</si>
  <si>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</si>
  <si>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</si>
  <si>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</si>
  <si>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</si>
  <si>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</si>
  <si>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</si>
  <si>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</si>
  <si>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</si>
  <si>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</si>
  <si>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</si>
  <si>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</si>
  <si>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</si>
  <si>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</si>
  <si>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</si>
  <si>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</si>
  <si>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</si>
  <si>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</si>
  <si>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</si>
  <si>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</si>
  <si>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</si>
  <si>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</si>
  <si>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</si>
  <si>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</si>
  <si>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</si>
  <si>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</si>
  <si>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</si>
  <si>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</si>
  <si>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</si>
  <si>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</si>
  <si>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</si>
  <si>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</si>
  <si>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</si>
  <si>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</si>
  <si>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</si>
  <si>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</si>
  <si>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</si>
  <si>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</si>
  <si>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</si>
  <si>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</si>
  <si>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</si>
  <si>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</si>
  <si>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</si>
  <si>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</si>
  <si>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</si>
  <si>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</si>
  <si>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</si>
  <si>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</si>
  <si>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</si>
  <si>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</si>
  <si>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</si>
  <si>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</si>
  <si>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</si>
  <si>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</si>
  <si>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</si>
  <si>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</si>
  <si>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</si>
  <si>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</si>
  <si>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</si>
  <si>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</si>
  <si>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</si>
  <si>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</si>
  <si>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</si>
  <si>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</si>
  <si>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</si>
  <si>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</si>
  <si>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</si>
  <si>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</si>
  <si>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</si>
  <si>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</si>
  <si>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</si>
  <si>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</si>
  <si>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</si>
  <si>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</si>
  <si>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</si>
  <si>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</si>
  <si>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</si>
  <si>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</si>
  <si>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</si>
  <si>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</si>
  <si>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</si>
  <si>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</si>
  <si>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</si>
  <si>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</si>
  <si>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</si>
  <si>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</si>
  <si>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</si>
  <si>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</si>
  <si>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</si>
  <si>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</si>
  <si>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</si>
  <si>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</si>
  <si>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</si>
  <si>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</si>
  <si>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</si>
  <si>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</si>
  <si>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</si>
  <si>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</si>
  <si>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</si>
  <si>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</si>
  <si>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</si>
  <si>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</si>
  <si>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</si>
  <si>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</si>
  <si>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</si>
  <si>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</si>
  <si>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</si>
  <si>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</si>
  <si>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</si>
  <si>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</si>
  <si>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</si>
  <si>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</si>
  <si>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</si>
  <si>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</si>
  <si>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</si>
  <si>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</si>
  <si>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</si>
  <si>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</si>
  <si>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</si>
  <si>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</si>
  <si>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</si>
  <si>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</si>
  <si>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</si>
  <si>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</si>
  <si>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</si>
  <si>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</si>
  <si>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</si>
  <si>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</si>
  <si>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</si>
  <si>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</si>
  <si>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</si>
  <si>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</si>
  <si>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</si>
  <si>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</si>
  <si>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</si>
  <si>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</si>
  <si>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</si>
  <si>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</si>
  <si>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</si>
  <si>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</si>
  <si>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</si>
  <si>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</si>
  <si>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</si>
  <si>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</si>
  <si>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</si>
  <si>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</si>
  <si>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</si>
  <si>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</si>
  <si>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</si>
  <si>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</si>
  <si>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</si>
  <si>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</si>
  <si>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</si>
  <si>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</si>
  <si>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</si>
  <si>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</si>
  <si>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</si>
  <si>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</si>
  <si>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</si>
  <si>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</si>
  <si>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</si>
  <si>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</si>
  <si>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</si>
  <si>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</si>
  <si>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</si>
  <si>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</si>
  <si>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</si>
  <si>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</si>
  <si>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</si>
  <si>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</si>
  <si>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</si>
  <si>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</si>
  <si>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</si>
  <si>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</si>
  <si>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</si>
  <si>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</si>
  <si>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</si>
  <si>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</si>
  <si>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</si>
  <si>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</si>
  <si>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</si>
  <si>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</si>
  <si>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</si>
  <si>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</si>
  <si>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</si>
  <si>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</si>
  <si>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</si>
  <si>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</si>
  <si>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</si>
  <si>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</si>
  <si>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</si>
  <si>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</si>
  <si>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</si>
  <si>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</si>
  <si>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</si>
  <si>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</si>
  <si>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</si>
  <si>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</si>
  <si>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</si>
  <si>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</si>
  <si>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</si>
  <si>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</si>
  <si>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</si>
  <si>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</si>
  <si>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</si>
  <si>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</si>
  <si>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</si>
  <si>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</si>
  <si>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</si>
  <si>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</si>
  <si>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</si>
  <si>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</si>
  <si>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</si>
  <si>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</si>
  <si>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</si>
  <si>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</si>
  <si>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</si>
  <si>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</si>
  <si>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</si>
  <si>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</si>
  <si>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</si>
  <si>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</si>
  <si>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</si>
  <si>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</si>
  <si>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</si>
  <si>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</si>
  <si>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</si>
  <si>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</si>
  <si>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</si>
  <si>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</si>
  <si>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</si>
  <si>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</si>
  <si>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</si>
  <si>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</si>
  <si>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</si>
  <si>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</si>
  <si>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</si>
  <si>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</si>
  <si>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</si>
  <si>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</si>
  <si>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</si>
  <si>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</si>
  <si>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</si>
  <si>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</si>
  <si>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</si>
  <si>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</si>
  <si>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</si>
  <si>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</si>
  <si>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</si>
  <si>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</si>
  <si>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</si>
  <si>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</si>
  <si>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</si>
  <si>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</si>
  <si>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</si>
  <si>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</si>
  <si>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</si>
  <si>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</si>
  <si>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</si>
  <si>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</si>
  <si>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</si>
  <si>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</si>
  <si>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</si>
  <si>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</si>
  <si>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</si>
  <si>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</si>
  <si>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</si>
  <si>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</si>
  <si>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</si>
  <si>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</si>
  <si>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</si>
  <si>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</si>
  <si>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</si>
  <si>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</si>
  <si>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</si>
  <si>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</si>
  <si>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</si>
  <si>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</si>
  <si>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</si>
  <si>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</si>
  <si>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</si>
  <si>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</si>
  <si>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</si>
  <si>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</si>
  <si>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</si>
  <si>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</si>
  <si>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</si>
  <si>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</si>
  <si>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</si>
  <si>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</si>
  <si>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</si>
  <si>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</si>
  <si>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</si>
  <si>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</si>
  <si>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</si>
  <si>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</si>
  <si>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</si>
  <si>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</si>
  <si>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</si>
  <si>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</si>
  <si>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</si>
  <si>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</si>
  <si>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</si>
  <si>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</si>
  <si>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</si>
  <si>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</si>
  <si>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</si>
  <si>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</si>
  <si>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</si>
  <si>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</si>
  <si>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</si>
  <si>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</si>
  <si>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</si>
  <si>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</si>
  <si>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</si>
  <si>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</si>
  <si>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</si>
  <si>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</si>
  <si>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</si>
  <si>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</si>
  <si>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</si>
  <si>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</si>
  <si>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</si>
  <si>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</si>
  <si>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</si>
  <si>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</si>
  <si>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</si>
  <si>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</si>
  <si>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</si>
  <si>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</si>
  <si>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</si>
  <si>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</si>
  <si>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</si>
  <si>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</si>
  <si>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</si>
  <si>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</si>
  <si>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</si>
  <si>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</si>
  <si>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</si>
  <si>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</si>
  <si>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</si>
  <si>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</si>
  <si>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</si>
  <si>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</si>
  <si>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</si>
  <si>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</si>
  <si>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</si>
  <si>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</si>
  <si>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</si>
  <si>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</si>
  <si>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</si>
  <si>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</si>
  <si>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</si>
  <si>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</si>
  <si>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</si>
  <si>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</si>
  <si>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</si>
  <si>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</si>
  <si>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</si>
  <si>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</si>
  <si>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</si>
  <si>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</si>
  <si>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</si>
  <si>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</si>
  <si>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</si>
  <si>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</si>
  <si>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</si>
  <si>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</si>
  <si>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</si>
  <si>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</si>
  <si>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</si>
  <si>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</si>
  <si>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</si>
  <si>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</si>
  <si>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</si>
  <si>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</si>
  <si>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</si>
  <si>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</si>
  <si>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</si>
  <si>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</si>
  <si>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</si>
  <si>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</si>
  <si>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</si>
  <si>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</si>
  <si>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</si>
  <si>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</si>
  <si>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</si>
  <si>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</si>
  <si>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</si>
  <si>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</si>
  <si>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</si>
  <si>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</si>
  <si>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</si>
  <si>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</si>
  <si>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</si>
  <si>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</si>
  <si>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</si>
  <si>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</si>
  <si>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</si>
  <si>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</si>
  <si>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</si>
  <si>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</si>
  <si>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</si>
  <si>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</si>
  <si>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</si>
  <si>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</si>
  <si>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</si>
  <si>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</si>
  <si>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</si>
  <si>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</si>
  <si>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</si>
  <si>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</si>
  <si>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</si>
  <si>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</si>
  <si>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</si>
  <si>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</si>
  <si>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</si>
  <si>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</si>
  <si>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</si>
  <si>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</si>
  <si>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</si>
  <si>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</si>
  <si>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</si>
  <si>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</si>
  <si>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</si>
  <si>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</si>
  <si>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</si>
  <si>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</si>
  <si>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</si>
  <si>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</si>
  <si>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</si>
  <si>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</si>
  <si>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</si>
  <si>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</si>
  <si>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</si>
  <si>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</si>
  <si>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</si>
  <si>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</si>
  <si>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</si>
  <si>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</si>
  <si>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</si>
  <si>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</si>
  <si>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</si>
  <si>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</si>
  <si>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</si>
  <si>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</si>
  <si>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</si>
  <si>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</si>
  <si>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</si>
  <si>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</si>
  <si>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</si>
  <si>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</si>
  <si>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</si>
  <si>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</si>
  <si>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</si>
  <si>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</si>
  <si>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</si>
  <si>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</si>
  <si>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</si>
  <si>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</si>
  <si>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</si>
  <si>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</si>
  <si>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</si>
  <si>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</si>
  <si>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</si>
  <si>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</si>
  <si>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</si>
  <si>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</si>
  <si>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</si>
  <si>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</si>
  <si>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</si>
  <si>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</si>
  <si>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</si>
  <si>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</si>
  <si>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</si>
  <si>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</si>
  <si>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</si>
  <si>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</si>
  <si>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</si>
  <si>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</si>
  <si>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</si>
  <si>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</si>
  <si>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</si>
  <si>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</si>
  <si>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</si>
  <si>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</si>
  <si>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</si>
  <si>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</si>
  <si>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</si>
  <si>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</si>
  <si>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</si>
  <si>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</si>
  <si>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</si>
  <si>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</si>
  <si>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</si>
  <si>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</si>
  <si>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</si>
  <si>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</si>
  <si>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</si>
  <si>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</si>
  <si>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</si>
  <si>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</si>
  <si>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</si>
  <si>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</si>
  <si>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</si>
  <si>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</si>
  <si>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</si>
  <si>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</si>
  <si>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</si>
  <si>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</si>
  <si>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</si>
  <si>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</si>
  <si>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</si>
  <si>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</si>
  <si>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</si>
  <si>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</si>
  <si>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</si>
  <si>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</si>
  <si>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</si>
  <si>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</si>
  <si>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</si>
  <si>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</si>
  <si>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</si>
  <si>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</si>
  <si>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</si>
  <si>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</si>
  <si>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</si>
  <si>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</si>
  <si>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</si>
  <si>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</si>
  <si>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</si>
  <si>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</si>
  <si>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</si>
  <si>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</si>
  <si>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</si>
  <si>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</si>
  <si>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</si>
  <si>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</si>
  <si>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</si>
  <si>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</si>
  <si>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</si>
  <si>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</si>
  <si>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</si>
  <si>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</si>
  <si>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</si>
  <si>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</si>
  <si>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</si>
  <si>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</si>
  <si>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</si>
  <si>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</si>
  <si>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</si>
  <si>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</si>
  <si>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</si>
  <si>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</si>
  <si>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</si>
  <si>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</si>
  <si>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</si>
  <si>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</si>
  <si>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</si>
  <si>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</si>
  <si>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</si>
  <si>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</si>
  <si>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</si>
  <si>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</si>
  <si>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</si>
  <si>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</si>
  <si>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</si>
  <si>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</si>
  <si>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</si>
  <si>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</si>
  <si>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</si>
  <si>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</si>
  <si>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</si>
  <si>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</si>
  <si>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</si>
  <si>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</si>
  <si>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</si>
  <si>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</si>
  <si>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</si>
  <si>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</si>
  <si>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</si>
  <si>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</si>
  <si>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</si>
  <si>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</si>
  <si>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</si>
  <si>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</si>
  <si>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</si>
  <si>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</si>
  <si>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</si>
  <si>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</si>
  <si>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</si>
  <si>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</si>
  <si>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</si>
  <si>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</si>
  <si>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</si>
  <si>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</si>
  <si>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</si>
  <si>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</si>
  <si>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</si>
  <si>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</si>
  <si>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</si>
  <si>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</si>
  <si>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</si>
  <si>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</si>
  <si>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</si>
  <si>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</si>
  <si>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</si>
  <si>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</si>
  <si>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</si>
  <si>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</si>
  <si>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</si>
  <si>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</si>
  <si>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</si>
  <si>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</si>
  <si>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</si>
  <si>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</si>
  <si>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</si>
  <si>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</si>
  <si>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</si>
  <si>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</si>
  <si>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</si>
  <si>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</si>
  <si>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</si>
  <si>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</si>
  <si>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</si>
  <si>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</si>
  <si>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</si>
  <si>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</si>
  <si>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</si>
  <si>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</si>
  <si>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</si>
  <si>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</si>
  <si>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</si>
  <si>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Sample ID</t>
  </si>
  <si>
    <t>Analyzer Module</t>
  </si>
  <si>
    <t>Processing Time (Min)</t>
  </si>
  <si>
    <t>Integration Latency (Min)</t>
  </si>
  <si>
    <t>Latency Severity</t>
  </si>
  <si>
    <t>Test Profile</t>
  </si>
  <si>
    <t>Data Quality Flag</t>
  </si>
  <si>
    <t>Verified To EHR</t>
  </si>
  <si>
    <t>Verified &amp; Quality Flag Cross-Check</t>
  </si>
  <si>
    <t>Day of Week</t>
  </si>
  <si>
    <t>Abbott Alinity</t>
  </si>
  <si>
    <t>Normal</t>
  </si>
  <si>
    <t>Lipid Panel</t>
  </si>
  <si>
    <t>Consistent</t>
  </si>
  <si>
    <t>Monday</t>
  </si>
  <si>
    <t>Beckman Coulter</t>
  </si>
  <si>
    <t>Roche Cobas 8000</t>
  </si>
  <si>
    <t>Comprehensive Metabolic</t>
  </si>
  <si>
    <t>Thyroid Panel</t>
  </si>
  <si>
    <t>Complete Blood Count</t>
  </si>
  <si>
    <t>Critical</t>
  </si>
  <si>
    <t>Critical Error</t>
  </si>
  <si>
    <t>Delayed Sync</t>
  </si>
  <si>
    <t>Tuesday</t>
  </si>
  <si>
    <t>Wednesday</t>
  </si>
  <si>
    <t>Thursday</t>
  </si>
  <si>
    <t>Friday</t>
  </si>
  <si>
    <t>Valid Test Count</t>
  </si>
  <si>
    <t>Analytical Success Rate</t>
  </si>
  <si>
    <t>Analytical Failure Rate</t>
  </si>
  <si>
    <t>Invalid Test Count</t>
  </si>
  <si>
    <t>Average Processing Time (Min)</t>
  </si>
  <si>
    <t>Average Integration Latency (Min)</t>
  </si>
  <si>
    <t>Avg Invalid Run Duration (Min)</t>
  </si>
  <si>
    <t>Valid Test Critical Latency Count</t>
  </si>
  <si>
    <t>Analyzer</t>
  </si>
  <si>
    <t>Selected</t>
  </si>
  <si>
    <t>Column Labels</t>
  </si>
  <si>
    <t>Undelivered to EHR Count</t>
  </si>
  <si>
    <t>Undelivered to EHR Rate</t>
  </si>
  <si>
    <t>Delivered to EHR Count</t>
  </si>
  <si>
    <t>Delivered to EHR Rate</t>
  </si>
  <si>
    <t>Valid Test Delayed Sync Latency Count</t>
  </si>
  <si>
    <t>LABORATORY DATA REPORT: JUNE 1-6, 2026</t>
  </si>
  <si>
    <t>Invalid</t>
  </si>
  <si>
    <t>For KPI:</t>
  </si>
  <si>
    <t xml:space="preserve">Tests Over Latency SLA  </t>
  </si>
  <si>
    <t>Test Under Latency SLA</t>
  </si>
  <si>
    <t xml:space="preserve">Tests Under Latency SLA  </t>
  </si>
  <si>
    <t>Tests Over Latency SLA Rate</t>
  </si>
  <si>
    <t>Tests Under Latency SLA Rate</t>
  </si>
  <si>
    <t>Target Processing Time</t>
  </si>
  <si>
    <t>Hardware Version</t>
  </si>
  <si>
    <t>Support Vendor</t>
  </si>
  <si>
    <t>Roche Diagnostics</t>
  </si>
  <si>
    <t>Abbott Laboratories</t>
  </si>
  <si>
    <t>Beckman Health</t>
  </si>
  <si>
    <t>Avg. Processing Time</t>
  </si>
  <si>
    <t>For Chart (vs. Target):</t>
  </si>
  <si>
    <t>Analyzer Under Target</t>
  </si>
  <si>
    <t>Analyzer Over Target</t>
  </si>
  <si>
    <t>Target Processing Time Check</t>
  </si>
  <si>
    <t>Analyzer Check</t>
  </si>
  <si>
    <t>Under Target Processing Time</t>
  </si>
  <si>
    <t>Over Target Processing Time</t>
  </si>
  <si>
    <t>Test Run</t>
  </si>
  <si>
    <t>For Chart (Latency Breakdown):</t>
  </si>
  <si>
    <t>Critical Latency</t>
  </si>
  <si>
    <t>Normal Latency</t>
  </si>
  <si>
    <t>Sum of Processing Time (Min)</t>
  </si>
  <si>
    <t>Sum of Integration Latency (Min)</t>
  </si>
  <si>
    <t>Values</t>
  </si>
  <si>
    <t>Avg Invalid Integration Latency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</si>
</sst>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_(* #,##0_);_(* \(#,##0\);_(* &quot;-&quot;??_);_(@_)"/>
  </numFmts>
  <fonts count="9" x14ac:knownFonts="1">
    <font>
      <sz val="11"/>
      <color theme="1"/>
      <name val="Calibri"/>
      <family val="2"/>
      <scheme val="minor"/>
    </font>
    <font>
      <sz val="22"/>
      <color theme="1"/>
      <name val="Calibri"/>
      <family val="2"/>
      <scheme val="minor"/>
    </font>
    <font>
      <sz val="11"/>
      <color theme="1"/>
      <name val="Calibri"/>
      <family val="2"/>
      <scheme val="minor"/>
    </font>
    <font>
      <b/>
      <sz val="11"/>
      <color theme="1"/>
      <name val="Calibri"/>
      <family val="2"/>
      <scheme val="minor"/>
    </font>
    <font>
      <b/>
      <sz val="22"/>
      <color theme="1" tint="0.34998626667073579"/>
      <name val="Calibri"/>
      <family val="2"/>
      <scheme val="minor"/>
    </font>
    <font>
      <sz val="12"/>
      <color theme="1"/>
      <name val="Calibri"/>
      <family val="2"/>
      <scheme val="minor"/>
    </font>
    <font>
      <sz val="24"/>
      <color theme="1"/>
      <name val="Calibri"/>
      <family val="2"/>
      <scheme val="minor"/>
    </font>
    <font>
      <sz val="16"/>
      <color theme="1"/>
      <name val="Calibri"/>
      <family val="2"/>
      <scheme val="minor"/>
    </font>
    <font>
      <b/>
      <sz val="18"/>
      <color theme="1" tint="0.34998626667073579"/>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14" fontId="0" fillId="0" borderId="0" xfId="0" applyNumberFormat="1"/>
    <xf numFmtId="0" fontId="0" fillId="2" borderId="0" xfId="0" applyFill="1"/>
    <xf numFmtId="0" fontId="1" fillId="2" borderId="0" xfId="0" applyFont="1" applyFill="1"/>
    <xf numFmtId="3" fontId="0" fillId="0" borderId="0" xfId="0" applyNumberFormat="1"/>
    <xf numFmtId="1" fontId="0" fillId="0" borderId="0" xfId="0" applyNumberFormat="1"/>
    <xf numFmtId="0" fontId="0" fillId="3" borderId="0" xfId="0" applyFill="1"/>
    <xf numFmtId="0" fontId="0" fillId="0" borderId="0" xfId="0" pivotButton="1"/>
    <xf numFmtId="0" fontId="0" fillId="0" borderId="0" xfId="0" applyAlignment="1">
      <alignment horizontal="left"/>
    </xf>
    <xf numFmtId="2" fontId="0" fillId="0" borderId="0" xfId="0" applyNumberFormat="1"/>
    <xf numFmtId="0" fontId="3" fillId="0" borderId="0" xfId="0" applyFont="1"/>
    <xf numFmtId="0" fontId="5" fillId="3" borderId="0" xfId="0" applyFont="1" applyFill="1"/>
    <xf numFmtId="9" fontId="0" fillId="3" borderId="0" xfId="1" applyFont="1" applyFill="1"/>
    <xf numFmtId="0" fontId="4" fillId="3" borderId="0" xfId="0" applyFont="1" applyFill="1" applyAlignment="1">
      <alignment vertical="center"/>
    </xf>
    <xf numFmtId="164" fontId="0" fillId="0" borderId="0" xfId="0" applyNumberFormat="1"/>
    <xf numFmtId="0" fontId="3" fillId="0" borderId="1" xfId="0" applyFont="1" applyBorder="1"/>
    <xf numFmtId="0" fontId="0" fillId="0" borderId="1" xfId="0" applyBorder="1"/>
    <xf numFmtId="0" fontId="3" fillId="0" borderId="0" xfId="0" applyFont="1" applyAlignment="1">
      <alignment horizontal="left"/>
    </xf>
    <xf numFmtId="9" fontId="0" fillId="0" borderId="0" xfId="1" applyFont="1"/>
    <xf numFmtId="1" fontId="0" fillId="0" borderId="0" xfId="1" applyNumberFormat="1" applyFont="1"/>
    <xf numFmtId="0" fontId="6" fillId="3" borderId="0" xfId="0" applyFont="1" applyFill="1"/>
    <xf numFmtId="0" fontId="8" fillId="3" borderId="0" xfId="0" applyFont="1" applyFill="1"/>
    <xf numFmtId="165" fontId="0" fillId="0" borderId="0" xfId="0" applyNumberFormat="1"/>
    <xf numFmtId="1" fontId="6" fillId="3" borderId="0" xfId="0" applyNumberFormat="1" applyFont="1" applyFill="1" applyAlignment="1">
      <alignment horizontal="center" vertical="center"/>
    </xf>
    <xf numFmtId="9" fontId="7" fillId="3" borderId="0" xfId="0" applyNumberFormat="1" applyFont="1" applyFill="1" applyAlignment="1">
      <alignment horizontal="center" vertical="center"/>
    </xf>
  </cellXfs>
  <cellStyles count="2">
    <cellStyle name="Normal" xfId="0" builtinId="0"/>
    <cellStyle name="Percent" xfId="1" builtinId="5"/>
  </cellStyles>
  <dxfs count="19">
    <dxf>
      <font>
        <color theme="0"/>
      </font>
      <fill>
        <patternFill>
          <bgColor theme="9"/>
        </patternFill>
      </fill>
    </dxf>
    <dxf>
      <font>
        <color theme="0"/>
      </font>
      <fill>
        <patternFill>
          <bgColor theme="6" tint="-0.499984740745262"/>
        </patternFill>
      </fill>
    </dxf>
    <dxf>
      <font>
        <color theme="0"/>
      </font>
      <fill>
        <patternFill>
          <bgColor theme="9"/>
        </patternFill>
      </fill>
    </dxf>
    <dxf>
      <font>
        <color theme="0"/>
      </font>
      <fill>
        <patternFill>
          <bgColor theme="6" tint="-0.499984740745262"/>
        </patternFill>
      </fill>
    </dxf>
    <dxf>
      <font>
        <color theme="0"/>
      </font>
      <fill>
        <patternFill>
          <bgColor theme="9"/>
        </patternFill>
      </fill>
    </dxf>
    <dxf>
      <font>
        <color theme="0"/>
      </font>
      <fill>
        <patternFill>
          <bgColor theme="6" tint="-0.499984740745262"/>
        </patternFill>
      </fill>
    </dxf>
    <dxf>
      <font>
        <color theme="0"/>
      </font>
      <fill>
        <patternFill>
          <bgColor theme="9"/>
        </patternFill>
      </fill>
    </dxf>
    <dxf>
      <font>
        <color theme="0"/>
      </font>
      <fill>
        <patternFill>
          <bgColor theme="6" tint="-0.499984740745262"/>
        </patternFill>
      </fill>
    </dxf>
    <dxf>
      <font>
        <b val="0"/>
        <i val="0"/>
        <strike val="0"/>
        <condense val="0"/>
        <extend val="0"/>
        <outline val="0"/>
        <shadow val="0"/>
        <u val="none"/>
        <vertAlign val="baseline"/>
        <sz val="12"/>
        <color rgb="FF222222"/>
        <name val="Arial"/>
        <family val="2"/>
        <scheme val="none"/>
      </font>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65" formatCode="_(* #,##0_);_(* \(#,##0\);_(* &quot;-&quot;??_);_(@_)"/>
    </dxf>
    <dxf>
      <numFmt numFmtId="165" formatCode="_(* #,##0_);_(* \(#,##0\);_(* &quot;-&quot;??_);_(@_)"/>
    </dxf>
    <dxf>
      <font>
        <b/>
        <color theme="1"/>
      </font>
      <border>
        <bottom style="thin">
          <color theme="4"/>
        </bottom>
        <vertical/>
        <horizontal/>
      </border>
    </dxf>
    <dxf>
      <font>
        <color theme="1"/>
      </font>
      <border>
        <left style="thick">
          <color theme="0" tint="-0.24994659260841701"/>
        </left>
        <right style="thick">
          <color theme="0" tint="-0.24994659260841701"/>
        </right>
        <top style="thick">
          <color theme="0" tint="-0.24994659260841701"/>
        </top>
        <bottom style="thick">
          <color theme="0" tint="-0.24994659260841701"/>
        </bottom>
        <vertical/>
        <horizontal/>
      </border>
    </dxf>
  </dxfs>
  <tableStyles count="1" defaultTableStyle="TableStyleMedium2" defaultPivotStyle="PivotStyleLight16">
    <tableStyle name="SlicerStyleDark1 2" pivot="0" table="0" count="10" xr9:uid="{3CEBADC3-5FA4-4FE8-8698-2F49677424E9}">
      <tableStyleElement type="wholeTable" dxfId="18"/>
      <tableStyleElement type="headerRow" dxfId="17"/>
    </tableStyle>
  </tableStyles>
  <colors>
    <mruColors>
      <color rgb="FFDBEAFE"/>
      <color rgb="FF1D4ED8"/>
      <color rgb="FF4E67C8"/>
      <color rgb="FFD97706"/>
      <color rgb="FFDC2626"/>
      <color rgb="FFDCFCE7"/>
      <color rgb="FF98E739"/>
      <color rgb="FF0668A4"/>
      <color rgb="FFF6F7F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eetMetadata" Target="metadata.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[LIS_EHR_Interoperability_Diagnostic_Dashboard_v1.xlsx]Pivots!Chart Test Profiles</c:name>
    <c:fmtId val="7"/>
  </c:pivotSource>
  <c:chart>
    <c:title>
      <c:tx>
        <c:rich>
          <a:bodyPr rot="0" spcFirstLastPara="1" vertOverflow="ellipsis" vert="horz" wrap="square" anchor="ctr" anchorCtr="1"/>
          <a:lstStyle/>
          <a:p>
            <a:pPr>
              <a:defRPr sz="1800" b="1" i="0" u="none" strike="noStrike" kern="1200" spc="0" baseline="0">
                <a:solidFill>
                  <a:schemeClr val="bg2">
                    <a:lumMod val="50000"/>
                  </a:schemeClr>
                </a:solidFill>
                <a:latin typeface="+mn-lt"/>
                <a:ea typeface="+mn-ea"/>
                <a:cs typeface="+mn-cs"/>
              </a:defRPr>
            </a:pPr>
            <a:r>
              <a:rPr lang="en-US" sz="1800" b="1">
                <a:solidFill>
                  <a:schemeClr val="bg2">
                    <a:lumMod val="50000"/>
                  </a:schemeClr>
                </a:solidFill>
              </a:rPr>
              <a:t>Test Profiles</a:t>
            </a:r>
          </a:p>
        </c:rich>
      </c:tx>
      <c:layout>
        <c:manualLayout>
          <c:xMode val="edge"/>
          <c:yMode val="edge"/>
          <c:x val="3.7270778652668451E-2"/>
          <c:y val="3.240740740740740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chemeClr val="accent1"/>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chemeClr val="accent1"/>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chemeClr val="accent1"/>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chemeClr val="accent1"/>
          </a:solidFill>
          <a:ln>
            <a:noFill/>
          </a:ln>
          <a:effectLst/>
        </c:spPr>
        <c:dLbl>
          <c:idx val="0"/>
          <c:tx>
            <c:rich>
              <a:bodyPr rot="0" spcFirstLastPara="1" vertOverflow="clip" horzOverflow="clip" vert="horz" wrap="square" lIns="36576" tIns="18288" rIns="36576" bIns="18288"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fld id="{55295C4C-2230-4636-8D67-5EB17881902E}" type="VALUE">
                  <a:rPr lang="en-US" sz="900" b="0" i="0" u="none" strike="noStrike" kern="1200" baseline="0">
                    <a:solidFill>
                      <a:schemeClr val="dk1">
                        <a:lumMod val="65000"/>
                        <a:lumOff val="35000"/>
                      </a:schemeClr>
                    </a:solidFill>
                    <a:latin typeface="+mn-lt"/>
                    <a:ea typeface="+mn-ea"/>
                    <a:cs typeface="+mn-cs"/>
                  </a:rPr>
                  <a:pPr algn="ctr">
                    <a:defRPr lang="en-US" sz="900" b="0" i="0" u="none" strike="noStrike" kern="1200" baseline="0">
                      <a:solidFill>
                        <a:schemeClr val="dk1">
                          <a:lumMod val="65000"/>
                          <a:lumOff val="35000"/>
                        </a:schemeClr>
                      </a:solidFill>
                      <a:latin typeface="+mn-lt"/>
                      <a:ea typeface="+mn-ea"/>
                      <a:cs typeface="+mn-cs"/>
                    </a:defRPr>
                  </a:pPr>
                  <a:t>[VALUE]</a:t>
                </a:fld>
                <a:endParaRPr lang="en-US"/>
              </a:p>
            </c:rich>
          </c:tx>
          <c:spPr>
            <a:solidFill>
              <a:schemeClr val="bg1">
                <a:alpha val="50000"/>
              </a:schemeClr>
            </a:solidFill>
            <a:ln>
              <a:noFill/>
            </a:ln>
            <a:effectLst/>
          </c:spPr>
          <c:txPr>
            <a:bodyPr rot="0" spcFirstLastPara="1" vertOverflow="clip" horzOverflow="clip" vert="horz" wrap="square" lIns="36576" tIns="18288" rIns="36576" bIns="18288"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dlblFieldTable/>
              <c15:showDataLabelsRange val="0"/>
            </c:ext>
          </c:extLst>
        </c:dLbl>
      </c:pivotFmt>
      <c:pivotFmt>
        <c:idx val="13"/>
        <c:spPr>
          <a:solidFill>
            <a:schemeClr val="accent3"/>
          </a:solidFill>
          <a:ln>
            <a:noFill/>
          </a:ln>
          <a:effectLst/>
        </c:spPr>
      </c:pivotFmt>
    </c:pivotFmts>
    <c:plotArea>
      <c:layout/>
      <c:barChart>
        <c:barDir val="col"/>
        <c:grouping val="stacked"/>
        <c:varyColors val="0"/>
        <c:ser>
          <c:idx val="0"/>
          <c:order val="0"/>
          <c:tx>
            <c:strRef>
              <c:f>Pivots!$B$72:$B$73</c:f>
              <c:strCache>
                <c:ptCount val="1"/>
                <c:pt idx="0">
                  <c:v>Complete Blood Count</c:v>
                </c:pt>
              </c:strCache>
            </c:strRef>
          </c:tx>
          <c:spPr>
            <a:solidFill>
              <a:schemeClr val="accent1"/>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Pivots!$A$74:$A$75</c:f>
              <c:strCache>
                <c:ptCount val="1"/>
                <c:pt idx="0">
                  <c:v>Abbott Alinity</c:v>
                </c:pt>
              </c:strCache>
            </c:strRef>
          </c:cat>
          <c:val>
            <c:numRef>
              <c:f>Pivots!$B$74:$B$75</c:f>
              <c:numCache>
                <c:formatCode>#,##0</c:formatCode>
                <c:ptCount val="1"/>
                <c:pt idx="0">
                  <c:v>90</c:v>
                </c:pt>
              </c:numCache>
            </c:numRef>
          </c:val>
          <c:extLst>
            <c:ext xmlns:c16="http://schemas.microsoft.com/office/drawing/2014/chart" uri="{C3380CC4-5D6E-409C-BE32-E72D297353CC}">
              <c16:uniqueId val="{00000000-B4DC-4531-819B-A51DE81D18DC}"/>
            </c:ext>
          </c:extLst>
        </c:ser>
        <c:ser>
          <c:idx val="1"/>
          <c:order val="1"/>
          <c:tx>
            <c:strRef>
              <c:f>Pivots!$C$72:$C$73</c:f>
              <c:strCache>
                <c:ptCount val="1"/>
                <c:pt idx="0">
                  <c:v>Comprehensive Metabolic</c:v>
                </c:pt>
              </c:strCache>
            </c:strRef>
          </c:tx>
          <c:spPr>
            <a:solidFill>
              <a:schemeClr val="accent2"/>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Pivots!$A$74:$A$75</c:f>
              <c:strCache>
                <c:ptCount val="1"/>
                <c:pt idx="0">
                  <c:v>Abbott Alinity</c:v>
                </c:pt>
              </c:strCache>
            </c:strRef>
          </c:cat>
          <c:val>
            <c:numRef>
              <c:f>Pivots!$C$74:$C$75</c:f>
              <c:numCache>
                <c:formatCode>#,##0</c:formatCode>
                <c:ptCount val="1"/>
                <c:pt idx="0">
                  <c:v>77</c:v>
                </c:pt>
              </c:numCache>
            </c:numRef>
          </c:val>
          <c:extLst>
            <c:ext xmlns:c16="http://schemas.microsoft.com/office/drawing/2014/chart" uri="{C3380CC4-5D6E-409C-BE32-E72D297353CC}">
              <c16:uniqueId val="{00000001-B4DC-4531-819B-A51DE81D18DC}"/>
            </c:ext>
          </c:extLst>
        </c:ser>
        <c:ser>
          <c:idx val="2"/>
          <c:order val="2"/>
          <c:tx>
            <c:strRef>
              <c:f>Pivots!$D$72:$D$73</c:f>
              <c:strCache>
                <c:ptCount val="1"/>
                <c:pt idx="0">
                  <c:v>Lipid Panel</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4-B4DC-4531-819B-A51DE81D18DC}"/>
              </c:ext>
            </c:extLst>
          </c:dPt>
          <c:dLbls>
            <c:spPr>
              <a:solidFill>
                <a:schemeClr val="bg1">
                  <a:alpha val="50000"/>
                </a:schemeClr>
              </a:solidFill>
              <a:ln>
                <a:noFill/>
              </a:ln>
              <a:effectLst/>
            </c:spPr>
            <c:txPr>
              <a:bodyPr rot="0" spcFirstLastPara="1" vertOverflow="clip" horzOverflow="clip" vert="horz" wrap="square" lIns="36576" tIns="18288" rIns="36576" bIns="18288"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Pivots!$A$74:$A$75</c:f>
              <c:strCache>
                <c:ptCount val="1"/>
                <c:pt idx="0">
                  <c:v>Abbott Alinity</c:v>
                </c:pt>
              </c:strCache>
            </c:strRef>
          </c:cat>
          <c:val>
            <c:numRef>
              <c:f>Pivots!$D$74:$D$75</c:f>
              <c:numCache>
                <c:formatCode>#,##0</c:formatCode>
                <c:ptCount val="1"/>
                <c:pt idx="0">
                  <c:v>78</c:v>
                </c:pt>
              </c:numCache>
            </c:numRef>
          </c:val>
          <c:extLst>
            <c:ext xmlns:c16="http://schemas.microsoft.com/office/drawing/2014/chart" uri="{C3380CC4-5D6E-409C-BE32-E72D297353CC}">
              <c16:uniqueId val="{00000002-B4DC-4531-819B-A51DE81D18DC}"/>
            </c:ext>
          </c:extLst>
        </c:ser>
        <c:ser>
          <c:idx val="3"/>
          <c:order val="3"/>
          <c:tx>
            <c:strRef>
              <c:f>Pivots!$E$72:$E$73</c:f>
              <c:strCache>
                <c:ptCount val="1"/>
                <c:pt idx="0">
                  <c:v>Thyroid Panel</c:v>
                </c:pt>
              </c:strCache>
            </c:strRef>
          </c:tx>
          <c:spPr>
            <a:solidFill>
              <a:schemeClr val="accent4"/>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Pivots!$A$74:$A$75</c:f>
              <c:strCache>
                <c:ptCount val="1"/>
                <c:pt idx="0">
                  <c:v>Abbott Alinity</c:v>
                </c:pt>
              </c:strCache>
            </c:strRef>
          </c:cat>
          <c:val>
            <c:numRef>
              <c:f>Pivots!$E$74:$E$75</c:f>
              <c:numCache>
                <c:formatCode>#,##0</c:formatCode>
                <c:ptCount val="1"/>
                <c:pt idx="0">
                  <c:v>96</c:v>
                </c:pt>
              </c:numCache>
            </c:numRef>
          </c:val>
          <c:extLst>
            <c:ext xmlns:c16="http://schemas.microsoft.com/office/drawing/2014/chart" uri="{C3380CC4-5D6E-409C-BE32-E72D297353CC}">
              <c16:uniqueId val="{00000003-B4DC-4531-819B-A51DE81D18DC}"/>
            </c:ext>
          </c:extLst>
        </c:ser>
        <c:dLbls>
          <c:showLegendKey val="0"/>
          <c:showVal val="0"/>
          <c:showCatName val="0"/>
          <c:showSerName val="0"/>
          <c:showPercent val="0"/>
          <c:showBubbleSize val="0"/>
        </c:dLbls>
        <c:gapWidth val="25"/>
        <c:overlap val="100"/>
        <c:axId val="1892434384"/>
        <c:axId val="1892434864"/>
      </c:barChart>
      <c:catAx>
        <c:axId val="189243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434864"/>
        <c:crosses val="autoZero"/>
        <c:auto val="1"/>
        <c:lblAlgn val="ctr"/>
        <c:lblOffset val="100"/>
        <c:noMultiLvlLbl val="0"/>
      </c:catAx>
      <c:valAx>
        <c:axId val="1892434864"/>
        <c:scaling>
          <c:orientation val="minMax"/>
        </c:scaling>
        <c:delete val="1"/>
        <c:axPos val="l"/>
        <c:numFmt formatCode="#,##0" sourceLinked="1"/>
        <c:majorTickMark val="out"/>
        <c:minorTickMark val="none"/>
        <c:tickLblPos val="nextTo"/>
        <c:crossAx val="189243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Pivots!$M$35</c:f>
              <c:strCache>
                <c:ptCount val="1"/>
                <c:pt idx="0">
                  <c:v>Analyzer Under Target</c:v>
                </c:pt>
              </c:strCache>
            </c:strRef>
          </c:tx>
          <c:spPr>
            <a:solidFill>
              <a:srgbClr val="00B050"/>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Pivots!$I$36:$I$38</c:f>
              <c:strCache>
                <c:ptCount val="2"/>
                <c:pt idx="1">
                  <c:v>Abbott Alinity</c:v>
                </c:pt>
              </c:strCache>
            </c:strRef>
          </c:cat>
          <c:val>
            <c:numRef>
              <c:f>Pivots!$M$36:$M$38</c:f>
              <c:numCache>
                <c:formatCode>0.00</c:formatCode>
                <c:ptCount val="3"/>
                <c:pt idx="0">
                  <c:v>#N/A</c:v>
                </c:pt>
                <c:pt idx="1">
                  <c:v>17.120234604105573</c:v>
                </c:pt>
                <c:pt idx="2">
                  <c:v>#N/A</c:v>
                </c:pt>
              </c:numCache>
            </c:numRef>
          </c:val>
          <c:extLst>
            <c:ext xmlns:c16="http://schemas.microsoft.com/office/drawing/2014/chart" uri="{C3380CC4-5D6E-409C-BE32-E72D297353CC}">
              <c16:uniqueId val="{00000000-E968-4F38-8E29-5278809B53AC}"/>
            </c:ext>
          </c:extLst>
        </c:ser>
        <c:ser>
          <c:idx val="2"/>
          <c:order val="2"/>
          <c:tx>
            <c:strRef>
              <c:f>Pivots!$N$35</c:f>
              <c:strCache>
                <c:ptCount val="1"/>
                <c:pt idx="0">
                  <c:v>Analyzer Over Target</c:v>
                </c:pt>
              </c:strCache>
            </c:strRef>
          </c:tx>
          <c:spPr>
            <a:solidFill>
              <a:schemeClr val="accent5">
                <a:lumMod val="75000"/>
              </a:schemeClr>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Pivots!$I$36:$I$38</c:f>
              <c:strCache>
                <c:ptCount val="2"/>
                <c:pt idx="1">
                  <c:v>Abbott Alinity</c:v>
                </c:pt>
              </c:strCache>
            </c:strRef>
          </c:cat>
          <c:val>
            <c:numRef>
              <c:f>Pivots!$N$36:$N$38</c:f>
              <c:numCache>
                <c:formatCode>0.00</c:formatCode>
                <c:ptCount val="3"/>
                <c:pt idx="0">
                  <c:v>#N/A</c:v>
                </c:pt>
                <c:pt idx="1">
                  <c:v>#N/A</c:v>
                </c:pt>
                <c:pt idx="2">
                  <c:v>#N/A</c:v>
                </c:pt>
              </c:numCache>
            </c:numRef>
          </c:val>
          <c:extLst>
            <c:ext xmlns:c16="http://schemas.microsoft.com/office/drawing/2014/chart" uri="{C3380CC4-5D6E-409C-BE32-E72D297353CC}">
              <c16:uniqueId val="{00000001-E968-4F38-8E29-5278809B53AC}"/>
            </c:ext>
          </c:extLst>
        </c:ser>
        <c:dLbls>
          <c:showLegendKey val="0"/>
          <c:showVal val="0"/>
          <c:showCatName val="0"/>
          <c:showSerName val="0"/>
          <c:showPercent val="0"/>
          <c:showBubbleSize val="0"/>
        </c:dLbls>
        <c:gapWidth val="50"/>
        <c:overlap val="100"/>
        <c:axId val="30278191"/>
        <c:axId val="30261871"/>
      </c:barChart>
      <c:lineChart>
        <c:grouping val="standard"/>
        <c:varyColors val="0"/>
        <c:ser>
          <c:idx val="0"/>
          <c:order val="0"/>
          <c:tx>
            <c:strRef>
              <c:f>Pivots!$L$35</c:f>
              <c:strCache>
                <c:ptCount val="1"/>
                <c:pt idx="0">
                  <c:v>Target Processing Time</c:v>
                </c:pt>
              </c:strCache>
            </c:strRef>
          </c:tx>
          <c:spPr>
            <a:ln w="28575" cap="rnd">
              <a:noFill/>
              <a:round/>
            </a:ln>
            <a:effectLst/>
          </c:spPr>
          <c:marker>
            <c:symbol val="dash"/>
            <c:size val="51"/>
            <c:spPr>
              <a:solidFill>
                <a:srgbClr val="1D4ED8"/>
              </a:solidFill>
              <a:ln w="9525">
                <a:noFill/>
              </a:ln>
              <a:effectLst/>
            </c:spPr>
          </c:marker>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Pivots!$I$36:$I$38</c:f>
              <c:strCache>
                <c:ptCount val="2"/>
                <c:pt idx="1">
                  <c:v>Abbott Alinity</c:v>
                </c:pt>
              </c:strCache>
            </c:strRef>
          </c:cat>
          <c:val>
            <c:numRef>
              <c:f>Pivots!$L$36:$L$38</c:f>
              <c:numCache>
                <c:formatCode>General</c:formatCode>
                <c:ptCount val="3"/>
                <c:pt idx="0">
                  <c:v>#N/A</c:v>
                </c:pt>
                <c:pt idx="1">
                  <c:v>20</c:v>
                </c:pt>
                <c:pt idx="2">
                  <c:v>#N/A</c:v>
                </c:pt>
              </c:numCache>
            </c:numRef>
          </c:val>
          <c:smooth val="0"/>
          <c:extLst>
            <c:ext xmlns:c16="http://schemas.microsoft.com/office/drawing/2014/chart" uri="{C3380CC4-5D6E-409C-BE32-E72D297353CC}">
              <c16:uniqueId val="{00000002-E968-4F38-8E29-5278809B53AC}"/>
            </c:ext>
          </c:extLst>
        </c:ser>
        <c:dLbls>
          <c:showLegendKey val="0"/>
          <c:showVal val="0"/>
          <c:showCatName val="0"/>
          <c:showSerName val="0"/>
          <c:showPercent val="0"/>
          <c:showBubbleSize val="0"/>
        </c:dLbls>
        <c:marker val="1"/>
        <c:smooth val="0"/>
        <c:axId val="30278191"/>
        <c:axId val="30261871"/>
      </c:lineChart>
      <c:catAx>
        <c:axId val="3027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61871"/>
        <c:crosses val="autoZero"/>
        <c:auto val="1"/>
        <c:lblAlgn val="ctr"/>
        <c:lblOffset val="100"/>
        <c:noMultiLvlLbl val="0"/>
      </c:catAx>
      <c:valAx>
        <c:axId val="30261871"/>
        <c:scaling>
          <c:orientation val="minMax"/>
        </c:scaling>
        <c:delete val="1"/>
        <c:axPos val="l"/>
        <c:numFmt formatCode="0.00" sourceLinked="1"/>
        <c:majorTickMark val="none"/>
        <c:minorTickMark val="none"/>
        <c:tickLblPos val="nextTo"/>
        <c:crossAx val="30278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sz="1800" b="1"/>
          </a:p>
        </c:rich>
      </c:tx>
      <c:layout>
        <c:manualLayout>
          <c:xMode val="edge"/>
          <c:yMode val="edge"/>
          <c:x val="3.449300087489067E-2"/>
          <c:y val="2.3148148148148147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Pivots!$I$49</c:f>
              <c:strCache>
                <c:ptCount val="1"/>
                <c:pt idx="0">
                  <c:v>Critical Latency</c:v>
                </c:pt>
              </c:strCache>
            </c:strRef>
          </c:tx>
          <c:spPr>
            <a:solidFill>
              <a:srgbClr val="DC2626"/>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Pivots!$H$50:$H$51</c:f>
              <c:strCache>
                <c:ptCount val="2"/>
                <c:pt idx="0">
                  <c:v>Invalid</c:v>
                </c:pt>
                <c:pt idx="1">
                  <c:v>Valid</c:v>
                </c:pt>
              </c:strCache>
            </c:strRef>
          </c:cat>
          <c:val>
            <c:numRef>
              <c:f>Pivots!$I$50:$I$51</c:f>
              <c:numCache>
                <c:formatCode>#,##0</c:formatCode>
                <c:ptCount val="2"/>
                <c:pt idx="0">
                  <c:v>18</c:v>
                </c:pt>
                <c:pt idx="1">
                  <c:v>#N/A</c:v>
                </c:pt>
              </c:numCache>
            </c:numRef>
          </c:val>
          <c:extLst>
            <c:ext xmlns:c16="http://schemas.microsoft.com/office/drawing/2014/chart" uri="{C3380CC4-5D6E-409C-BE32-E72D297353CC}">
              <c16:uniqueId val="{00000000-4B4C-42BC-A94C-3764D6BF01D5}"/>
            </c:ext>
          </c:extLst>
        </c:ser>
        <c:ser>
          <c:idx val="1"/>
          <c:order val="1"/>
          <c:tx>
            <c:strRef>
              <c:f>Pivots!$J$49</c:f>
              <c:strCache>
                <c:ptCount val="1"/>
                <c:pt idx="0">
                  <c:v>Delayed Sync</c:v>
                </c:pt>
              </c:strCache>
            </c:strRef>
          </c:tx>
          <c:spPr>
            <a:solidFill>
              <a:srgbClr val="D97706"/>
            </a:solidFill>
            <a:ln>
              <a:noFill/>
            </a:ln>
            <a:effectLst/>
          </c:spPr>
          <c:invertIfNegative val="0"/>
          <c:dLbls>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1-4B4C-42BC-A94C-3764D6BF01D5}"/>
                </c:ext>
              </c:extLst>
            </c:dLbl>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Pivots!$H$50:$H$51</c:f>
              <c:strCache>
                <c:ptCount val="2"/>
                <c:pt idx="0">
                  <c:v>Invalid</c:v>
                </c:pt>
                <c:pt idx="1">
                  <c:v>Valid</c:v>
                </c:pt>
              </c:strCache>
            </c:strRef>
          </c:cat>
          <c:val>
            <c:numRef>
              <c:f>Pivots!$J$50:$J$51</c:f>
              <c:numCache>
                <c:formatCode>#,##0</c:formatCode>
                <c:ptCount val="2"/>
                <c:pt idx="0">
                  <c:v>2</c:v>
                </c:pt>
                <c:pt idx="1">
                  <c:v>#N/A</c:v>
                </c:pt>
              </c:numCache>
            </c:numRef>
          </c:val>
          <c:extLst>
            <c:ext xmlns:c16="http://schemas.microsoft.com/office/drawing/2014/chart" uri="{C3380CC4-5D6E-409C-BE32-E72D297353CC}">
              <c16:uniqueId val="{00000002-4B4C-42BC-A94C-3764D6BF01D5}"/>
            </c:ext>
          </c:extLst>
        </c:ser>
        <c:ser>
          <c:idx val="2"/>
          <c:order val="2"/>
          <c:tx>
            <c:strRef>
              <c:f>Pivots!$K$49</c:f>
              <c:strCache>
                <c:ptCount val="1"/>
                <c:pt idx="0">
                  <c:v>Normal Latency</c:v>
                </c:pt>
              </c:strCache>
            </c:strRef>
          </c:tx>
          <c:spPr>
            <a:solidFill>
              <a:srgbClr val="00B050"/>
            </a:solidFill>
            <a:ln>
              <a:noFill/>
            </a:ln>
            <a:effectLst/>
          </c:spPr>
          <c:invertIfNegative val="0"/>
          <c:dLbls>
            <c:dLbl>
              <c:idx val="1"/>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3-4B4C-42BC-A94C-3764D6BF01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Pivots!$H$50:$H$51</c:f>
              <c:strCache>
                <c:ptCount val="2"/>
                <c:pt idx="0">
                  <c:v>Invalid</c:v>
                </c:pt>
                <c:pt idx="1">
                  <c:v>Valid</c:v>
                </c:pt>
              </c:strCache>
            </c:strRef>
          </c:cat>
          <c:val>
            <c:numRef>
              <c:f>Pivots!$K$50:$K$51</c:f>
              <c:numCache>
                <c:formatCode>#,##0</c:formatCode>
                <c:ptCount val="2"/>
                <c:pt idx="0">
                  <c:v>#N/A</c:v>
                </c:pt>
                <c:pt idx="1">
                  <c:v>321</c:v>
                </c:pt>
              </c:numCache>
            </c:numRef>
          </c:val>
          <c:extLst>
            <c:ext xmlns:c16="http://schemas.microsoft.com/office/drawing/2014/chart" uri="{C3380CC4-5D6E-409C-BE32-E72D297353CC}">
              <c16:uniqueId val="{00000004-4B4C-42BC-A94C-3764D6BF01D5}"/>
            </c:ext>
          </c:extLst>
        </c:ser>
        <c:dLbls>
          <c:dLblPos val="ctr"/>
          <c:showLegendKey val="0"/>
          <c:showVal val="1"/>
          <c:showCatName val="0"/>
          <c:showSerName val="0"/>
          <c:showPercent val="0"/>
          <c:showBubbleSize val="0"/>
        </c:dLbls>
        <c:gapWidth val="85"/>
        <c:overlap val="100"/>
        <c:axId val="1126905423"/>
        <c:axId val="1126905903"/>
      </c:barChart>
      <c:catAx>
        <c:axId val="112690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05903"/>
        <c:crosses val="autoZero"/>
        <c:auto val="1"/>
        <c:lblAlgn val="ctr"/>
        <c:lblOffset val="100"/>
        <c:noMultiLvlLbl val="0"/>
      </c:catAx>
      <c:valAx>
        <c:axId val="1126905903"/>
        <c:scaling>
          <c:orientation val="minMax"/>
        </c:scaling>
        <c:delete val="1"/>
        <c:axPos val="l"/>
        <c:numFmt formatCode="0%" sourceLinked="1"/>
        <c:majorTickMark val="none"/>
        <c:minorTickMark val="none"/>
        <c:tickLblPos val="nextTo"/>
        <c:crossAx val="1126905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[LIS_EHR_Interoperability_Diagnostic_Dashboard_v1.xlsx]Pivots!Chart Daily Sample Count With Analyzer Slicer</c:name>
    <c:fmtId val="19"/>
  </c:pivotSource>
  <c:chart>
    <c:title>
      <c:tx>
        <c:rich>
          <a:bodyPr rot="0" spcFirstLastPara="1" vertOverflow="ellipsis" vert="horz" wrap="square" anchor="ctr" anchorCtr="1"/>
          <a:lstStyle/>
          <a:p>
            <a:pPr>
              <a:defRPr sz="1800" b="1" i="0" u="none" strike="noStrike" kern="1200" spc="0" baseline="0">
                <a:solidFill>
                  <a:schemeClr val="tx2">
                    <a:lumMod val="60000"/>
                    <a:lumOff val="40000"/>
                  </a:schemeClr>
                </a:solidFill>
                <a:latin typeface="+mn-lt"/>
                <a:ea typeface="+mn-ea"/>
                <a:cs typeface="+mn-cs"/>
              </a:defRPr>
            </a:pPr>
            <a:r>
              <a:rPr lang="en-US" sz="1800" b="1" i="0" u="none" strike="noStrike" baseline="0">
                <a:solidFill>
                  <a:srgbClr val="4E67C8"/>
                </a:solidFill>
              </a:rPr>
              <a:t> </a:t>
            </a:r>
            <a:endParaRPr lang="en-US" sz="1800" b="1">
              <a:solidFill>
                <a:schemeClr val="accent6">
                  <a:lumMod val="60000"/>
                  <a:lumOff val="40000"/>
                </a:schemeClr>
              </a:solidFill>
            </a:endParaRPr>
          </a:p>
        </c:rich>
      </c:tx>
      <c:layout>
        <c:manualLayout>
          <c:xMode val="edge"/>
          <c:yMode val="edge"/>
          <c:x val="2.1994377520854116E-2"/>
          <c:y val="1.905213719489991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5000"/>
                  <a:lumOff val="95000"/>
                </a:schemeClr>
              </a:gs>
              <a:gs pos="100000">
                <a:schemeClr val="accent1">
                  <a:lumMod val="45000"/>
                  <a:lumOff val="55000"/>
                  <a:alpha val="50000"/>
                </a:schemeClr>
              </a:gs>
              <a:gs pos="100000">
                <a:schemeClr val="accent1">
                  <a:lumMod val="45000"/>
                  <a:lumOff val="55000"/>
                </a:schemeClr>
              </a:gs>
              <a:gs pos="100000">
                <a:schemeClr val="accent1">
                  <a:lumMod val="30000"/>
                  <a:lumOff val="70000"/>
                </a:schemeClr>
              </a:gs>
            </a:gsLst>
            <a:lin ang="16200000" scaled="1"/>
            <a:tileRect/>
          </a:gra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pivotFmt>
      <c:pivotFmt>
        <c:idx val="7"/>
        <c:spPr>
          <a:gradFill flip="none" rotWithShape="1">
            <a:gsLst>
              <a:gs pos="0">
                <a:schemeClr val="accent1">
                  <a:lumMod val="5000"/>
                  <a:lumOff val="95000"/>
                </a:schemeClr>
              </a:gs>
              <a:gs pos="100000">
                <a:schemeClr val="accent1">
                  <a:lumMod val="45000"/>
                  <a:lumOff val="55000"/>
                  <a:alpha val="50000"/>
                </a:schemeClr>
              </a:gs>
              <a:gs pos="100000">
                <a:schemeClr val="accent1">
                  <a:lumMod val="45000"/>
                  <a:lumOff val="55000"/>
                </a:schemeClr>
              </a:gs>
              <a:gs pos="100000">
                <a:schemeClr val="accent1">
                  <a:lumMod val="30000"/>
                  <a:lumOff val="70000"/>
                </a:schemeClr>
              </a:gs>
            </a:gsLst>
            <a:lin ang="16200000" scaled="1"/>
            <a:tileRect/>
          </a:gra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lumMod val="5000"/>
                  <a:lumOff val="95000"/>
                </a:schemeClr>
              </a:gs>
              <a:gs pos="100000">
                <a:schemeClr val="accent1">
                  <a:lumMod val="45000"/>
                  <a:lumOff val="55000"/>
                  <a:alpha val="50000"/>
                </a:schemeClr>
              </a:gs>
              <a:gs pos="100000">
                <a:schemeClr val="accent1">
                  <a:lumMod val="45000"/>
                  <a:lumOff val="55000"/>
                </a:schemeClr>
              </a:gs>
              <a:gs pos="100000">
                <a:schemeClr val="accent1">
                  <a:lumMod val="30000"/>
                  <a:lumOff val="70000"/>
                </a:schemeClr>
              </a:gs>
            </a:gsLst>
            <a:lin ang="16200000" scaled="1"/>
            <a:tileRect/>
          </a:gra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lumMod val="5000"/>
                  <a:lumOff val="95000"/>
                </a:schemeClr>
              </a:gs>
              <a:gs pos="100000">
                <a:schemeClr val="accent1">
                  <a:lumMod val="45000"/>
                  <a:lumOff val="55000"/>
                  <a:alpha val="50000"/>
                </a:schemeClr>
              </a:gs>
              <a:gs pos="100000">
                <a:schemeClr val="accent1">
                  <a:lumMod val="45000"/>
                  <a:lumOff val="55000"/>
                </a:schemeClr>
              </a:gs>
              <a:gs pos="100000">
                <a:schemeClr val="accent1">
                  <a:lumMod val="30000"/>
                  <a:lumOff val="70000"/>
                </a:schemeClr>
              </a:gs>
            </a:gsLst>
            <a:lin ang="16200000" scaled="1"/>
            <a:tileRect/>
          </a:gra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bg2"/>
              </a:gs>
              <a:gs pos="100000">
                <a:schemeClr val="bg2">
                  <a:lumMod val="75000"/>
                </a:schemeClr>
              </a:gs>
            </a:gsLst>
            <a:lin ang="16200000" scaled="1"/>
            <a:tileRect/>
          </a:gradFill>
          <a:ln>
            <a:solidFill>
              <a:schemeClr val="accent1"/>
            </a:solidFill>
          </a:ln>
          <a:effectLst/>
        </c:spPr>
        <c:marker>
          <c:symbol val="none"/>
        </c:marker>
      </c:pivotFmt>
      <c:pivotFmt>
        <c:idx val="14"/>
        <c:spPr>
          <a:solidFill>
            <a:schemeClr val="accent1"/>
          </a:solidFill>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dLbl>
          <c:idx val="0"/>
          <c:layout>
            <c:manualLayout>
              <c:x val="-6.7590030452769701E-3"/>
              <c:y val="-5.7463763197783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dLbl>
          <c:idx val="0"/>
          <c:layout>
            <c:manualLayout>
              <c:x val="-9.0120040603690731E-3"/>
              <c:y val="-8.84057895350517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dLbl>
          <c:idx val="0"/>
          <c:layout>
            <c:manualLayout>
              <c:x val="0"/>
              <c:y val="-4.8623184244278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dLbl>
          <c:idx val="0"/>
          <c:layout>
            <c:manualLayout>
              <c:x val="-2.2530010150922683E-3"/>
              <c:y val="-4.8623184244278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dLbl>
          <c:idx val="0"/>
          <c:layout>
            <c:manualLayout>
              <c:x val="-9.0120040603690731E-3"/>
              <c:y val="-9.7246368488556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6">
                <a:lumMod val="60000"/>
                <a:lumOff val="40000"/>
              </a:schemeClr>
            </a:solidFill>
            <a:round/>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3"/>
        <c:spPr>
          <a:solidFill>
            <a:schemeClr val="accent1"/>
          </a:solidFill>
          <a:ln w="28575" cap="rnd">
            <a:solidFill>
              <a:schemeClr val="accent6">
                <a:lumMod val="60000"/>
                <a:lumOff val="40000"/>
              </a:schemeClr>
            </a:solidFill>
            <a:round/>
          </a:ln>
          <a:effectLst/>
        </c:spPr>
        <c:marker>
          <c:symbol val="none"/>
        </c:marker>
        <c:dLbl>
          <c:idx val="0"/>
          <c:layout>
            <c:manualLayout>
              <c:x val="-8.8250252003979943E-2"/>
              <c:y val="-5.6715671388506812E-2"/>
            </c:manualLayout>
          </c:layout>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4"/>
        <c:spPr>
          <a:solidFill>
            <a:schemeClr val="accent1"/>
          </a:solidFill>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Lbl>
          <c:idx val="0"/>
          <c:layout>
            <c:manualLayout>
              <c:x val="-1.6546922250746242E-2"/>
              <c:y val="-7.4166647200355026E-2"/>
            </c:manualLayout>
          </c:layout>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5"/>
        <c:spPr>
          <a:solidFill>
            <a:schemeClr val="accent1"/>
          </a:solidFill>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Lbl>
          <c:idx val="0"/>
          <c:layout>
            <c:manualLayout>
              <c:x val="-6.3429868627860639E-2"/>
              <c:y val="3.4901951623696505E-2"/>
            </c:manualLayout>
          </c:layout>
          <c:spPr>
            <a:solidFill>
              <a:schemeClr val="bg1">
                <a:alpha val="50000"/>
              </a:schemeClr>
            </a:solidFill>
            <a:ln>
              <a:solidFill>
                <a:schemeClr val="accent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6"/>
        <c:spPr>
          <a:solidFill>
            <a:schemeClr val="accent1"/>
          </a:solidFill>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Lbl>
          <c:idx val="0"/>
          <c:layout>
            <c:manualLayout>
              <c:x val="-3.0336024126368107E-2"/>
              <c:y val="-7.4166647200355151E-2"/>
            </c:manualLayout>
          </c:layout>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7"/>
        <c:spPr>
          <a:solidFill>
            <a:schemeClr val="accent1"/>
          </a:solidFill>
          <a:ln w="28575" cap="rnd">
            <a:solidFill>
              <a:schemeClr val="accent6">
                <a:lumMod val="60000"/>
                <a:lumOff val="40000"/>
              </a:schemeClr>
            </a:solidFill>
            <a:round/>
          </a:ln>
          <a:effectLst/>
        </c:spPr>
        <c:marker>
          <c:symbol val="none"/>
        </c:marker>
        <c:dLbl>
          <c:idx val="0"/>
          <c:layout>
            <c:manualLayout>
              <c:x val="-1.6546922250746242E-2"/>
              <c:y val="-6.5441159294430978E-2"/>
            </c:manualLayout>
          </c:layout>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8"/>
        <c:spPr>
          <a:solidFill>
            <a:schemeClr val="accent1"/>
          </a:solidFill>
          <a:ln w="28575" cap="rnd">
            <a:solidFill>
              <a:schemeClr val="accent6">
                <a:lumMod val="60000"/>
                <a:lumOff val="40000"/>
              </a:schemeClr>
            </a:solidFill>
            <a:round/>
          </a:ln>
          <a:effectLst/>
        </c:spPr>
        <c:marker>
          <c:symbol val="none"/>
        </c:marker>
        <c:dLbl>
          <c:idx val="0"/>
          <c:layout>
            <c:manualLayout>
              <c:x val="-6.0672048252736213E-2"/>
              <c:y val="6.1078415341468878E-2"/>
            </c:manualLayout>
          </c:layout>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9"/>
        <c:spPr>
          <a:solidFill>
            <a:schemeClr val="accent1"/>
          </a:solidFill>
          <a:ln w="28575" cap="rnd">
            <a:solidFill>
              <a:schemeClr val="accent6">
                <a:lumMod val="60000"/>
                <a:lumOff val="40000"/>
              </a:schemeClr>
            </a:solidFill>
            <a:round/>
          </a:ln>
          <a:effectLst/>
        </c:spPr>
        <c:marker>
          <c:symbol val="none"/>
        </c:marker>
        <c:dLbl>
          <c:idx val="0"/>
          <c:layout>
            <c:manualLayout>
              <c:x val="-2.7578203751243732E-3"/>
              <c:y val="3.0539207670734359E-2"/>
            </c:manualLayout>
          </c:layout>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0"/>
        <c:spPr>
          <a:solidFill>
            <a:schemeClr val="accent1"/>
          </a:solidFill>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1"/>
        <c:spPr>
          <a:solidFill>
            <a:schemeClr val="accent1"/>
          </a:solidFill>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2"/>
        <c:spPr>
          <a:gradFill flip="none" rotWithShape="1">
            <a:gsLst>
              <a:gs pos="0">
                <a:schemeClr val="bg2"/>
              </a:gs>
              <a:gs pos="100000">
                <a:schemeClr val="bg2">
                  <a:lumMod val="75000"/>
                </a:schemeClr>
              </a:gs>
            </a:gsLst>
            <a:lin ang="16200000" scaled="1"/>
            <a:tileRect/>
          </a:gra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5"/>
        <c:spPr>
          <a:solidFill>
            <a:schemeClr val="accent1"/>
          </a:solidFill>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Lbl>
          <c:idx val="0"/>
          <c:layout>
            <c:manualLayout>
              <c:x val="-1.6546922250746242E-2"/>
              <c:y val="-7.4166647200355026E-2"/>
            </c:manualLayout>
          </c:layout>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6"/>
        <c:spPr>
          <a:solidFill>
            <a:schemeClr val="accent1"/>
          </a:solidFill>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Lbl>
          <c:idx val="0"/>
          <c:layout>
            <c:manualLayout>
              <c:x val="-6.3429868627860639E-2"/>
              <c:y val="3.4901951623696505E-2"/>
            </c:manualLayout>
          </c:layout>
          <c:spPr>
            <a:solidFill>
              <a:schemeClr val="bg1">
                <a:alpha val="50000"/>
              </a:schemeClr>
            </a:solidFill>
            <a:ln>
              <a:solidFill>
                <a:schemeClr val="accent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7"/>
        <c:spPr>
          <a:solidFill>
            <a:schemeClr val="accent1"/>
          </a:solidFill>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Lbl>
          <c:idx val="0"/>
          <c:layout>
            <c:manualLayout>
              <c:x val="-3.0336024126368107E-2"/>
              <c:y val="-7.4166647200355151E-2"/>
            </c:manualLayout>
          </c:layout>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8"/>
        <c:spPr>
          <a:solidFill>
            <a:schemeClr val="accent1"/>
          </a:solidFill>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9"/>
        <c:spPr>
          <a:solidFill>
            <a:schemeClr val="accent1"/>
          </a:solidFill>
          <a:ln w="28575" cap="rnd">
            <a:solidFill>
              <a:schemeClr val="accent6">
                <a:lumMod val="60000"/>
                <a:lumOff val="40000"/>
              </a:schemeClr>
            </a:solidFill>
            <a:round/>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0"/>
        <c:spPr>
          <a:solidFill>
            <a:schemeClr val="accent1"/>
          </a:solidFill>
          <a:ln w="28575" cap="rnd">
            <a:solidFill>
              <a:schemeClr val="accent6">
                <a:lumMod val="60000"/>
                <a:lumOff val="40000"/>
              </a:schemeClr>
            </a:solidFill>
            <a:round/>
          </a:ln>
          <a:effectLst/>
        </c:spPr>
        <c:marker>
          <c:symbol val="none"/>
        </c:marker>
        <c:dLbl>
          <c:idx val="0"/>
          <c:layout>
            <c:manualLayout>
              <c:x val="-8.8250252003979943E-2"/>
              <c:y val="-5.6715671388506812E-2"/>
            </c:manualLayout>
          </c:layout>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1"/>
        <c:spPr>
          <a:solidFill>
            <a:schemeClr val="accent1"/>
          </a:solidFill>
          <a:ln w="28575" cap="rnd">
            <a:solidFill>
              <a:schemeClr val="accent6">
                <a:lumMod val="60000"/>
                <a:lumOff val="40000"/>
              </a:schemeClr>
            </a:solidFill>
            <a:round/>
          </a:ln>
          <a:effectLst/>
        </c:spPr>
        <c:marker>
          <c:symbol val="none"/>
        </c:marker>
        <c:dLbl>
          <c:idx val="0"/>
          <c:layout>
            <c:manualLayout>
              <c:x val="-2.7578203751243732E-3"/>
              <c:y val="3.0539207670734359E-2"/>
            </c:manualLayout>
          </c:layout>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2"/>
        <c:spPr>
          <a:solidFill>
            <a:schemeClr val="accent1"/>
          </a:solidFill>
          <a:ln w="28575" cap="rnd">
            <a:solidFill>
              <a:schemeClr val="accent6">
                <a:lumMod val="60000"/>
                <a:lumOff val="40000"/>
              </a:schemeClr>
            </a:solidFill>
            <a:round/>
          </a:ln>
          <a:effectLst/>
        </c:spPr>
        <c:marker>
          <c:symbol val="none"/>
        </c:marker>
        <c:dLbl>
          <c:idx val="0"/>
          <c:layout>
            <c:manualLayout>
              <c:x val="-3.3093844501492484E-2"/>
              <c:y val="-6.5441159294430978E-2"/>
            </c:manualLayout>
          </c:layout>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3"/>
        <c:spPr>
          <a:solidFill>
            <a:schemeClr val="accent1"/>
          </a:solidFill>
          <a:ln w="28575" cap="rnd">
            <a:solidFill>
              <a:schemeClr val="accent6">
                <a:lumMod val="60000"/>
                <a:lumOff val="40000"/>
              </a:schemeClr>
            </a:solidFill>
            <a:round/>
          </a:ln>
          <a:effectLst/>
        </c:spPr>
        <c:marker>
          <c:symbol val="none"/>
        </c:marker>
        <c:dLbl>
          <c:idx val="0"/>
          <c:layout>
            <c:manualLayout>
              <c:x val="-6.0672048252736213E-2"/>
              <c:y val="6.1078415341468878E-2"/>
            </c:manualLayout>
          </c:layout>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4"/>
        <c:spPr>
          <a:gradFill flip="none" rotWithShape="1">
            <a:gsLst>
              <a:gs pos="0">
                <a:schemeClr val="bg2"/>
              </a:gs>
              <a:gs pos="100000">
                <a:schemeClr val="bg2">
                  <a:lumMod val="75000"/>
                </a:schemeClr>
              </a:gs>
            </a:gsLst>
            <a:lin ang="16200000" scaled="1"/>
            <a:tileRect/>
          </a:gra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pivotFmt>
      <c:pivotFmt>
        <c:idx val="47"/>
        <c:spPr>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pivotFmt>
      <c:pivotFmt>
        <c:idx val="48"/>
        <c:spPr>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pivotFmt>
      <c:pivotFmt>
        <c:idx val="49"/>
        <c:spPr>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pivotFmt>
      <c:pivotFmt>
        <c:idx val="50"/>
        <c:spPr>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pivotFmt>
      <c:pivotFmt>
        <c:idx val="51"/>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6">
                <a:lumMod val="75000"/>
              </a:schemeClr>
            </a:solidFill>
            <a:round/>
          </a:ln>
          <a:effectLst/>
        </c:spPr>
        <c:marker>
          <c:symbol val="none"/>
        </c:marker>
      </c:pivotFmt>
      <c:pivotFmt>
        <c:idx val="53"/>
        <c:spPr>
          <a:ln w="28575" cap="rnd">
            <a:solidFill>
              <a:schemeClr val="accent6">
                <a:lumMod val="75000"/>
              </a:schemeClr>
            </a:solidFill>
            <a:round/>
          </a:ln>
          <a:effectLst/>
        </c:spPr>
        <c:marker>
          <c:symbol val="none"/>
        </c:marker>
      </c:pivotFmt>
      <c:pivotFmt>
        <c:idx val="54"/>
        <c:spPr>
          <a:ln w="28575" cap="rnd">
            <a:solidFill>
              <a:schemeClr val="accent6">
                <a:lumMod val="75000"/>
              </a:schemeClr>
            </a:solidFill>
            <a:round/>
          </a:ln>
          <a:effectLst/>
        </c:spPr>
        <c:marker>
          <c:symbol val="none"/>
        </c:marker>
      </c:pivotFmt>
      <c:pivotFmt>
        <c:idx val="55"/>
        <c:spPr>
          <a:ln w="28575" cap="rnd">
            <a:solidFill>
              <a:schemeClr val="accent6">
                <a:lumMod val="75000"/>
              </a:schemeClr>
            </a:solidFill>
            <a:round/>
          </a:ln>
          <a:effectLst/>
        </c:spPr>
        <c:marker>
          <c:symbol val="none"/>
        </c:marker>
      </c:pivotFmt>
    </c:pivotFmts>
    <c:plotArea>
      <c:layout/>
      <c:areaChart>
        <c:grouping val="standard"/>
        <c:varyColors val="0"/>
        <c:ser>
          <c:idx val="1"/>
          <c:order val="1"/>
          <c:tx>
            <c:strRef>
              <c:f>Pivots!$C$55</c:f>
              <c:strCache>
                <c:ptCount val="1"/>
                <c:pt idx="0">
                  <c:v>Sample Count2</c:v>
                </c:pt>
              </c:strCache>
            </c:strRef>
          </c:tx>
          <c:spPr>
            <a:gradFill flip="none" rotWithShape="1">
              <a:gsLst>
                <a:gs pos="0">
                  <a:schemeClr val="bg2"/>
                </a:gs>
                <a:gs pos="100000">
                  <a:schemeClr val="bg2">
                    <a:lumMod val="75000"/>
                  </a:schemeClr>
                </a:gs>
              </a:gsLst>
              <a:lin ang="16200000" scaled="1"/>
              <a:tileRect/>
            </a:gradFill>
            <a:ln>
              <a:solidFill>
                <a:schemeClr val="accent1"/>
              </a:solidFill>
            </a:ln>
            <a:effectLst/>
          </c:spPr>
          <c:cat>
            <c:strRef>
              <c:f>Pivots!$A$56:$A$61</c:f>
              <c:strCache>
                <c:ptCount val="5"/>
                <c:pt idx="0">
                  <c:v>Monday</c:v>
                </c:pt>
                <c:pt idx="1">
                  <c:v>Tuesday</c:v>
                </c:pt>
                <c:pt idx="2">
                  <c:v>Wednesday</c:v>
                </c:pt>
                <c:pt idx="3">
                  <c:v>Thursday</c:v>
                </c:pt>
                <c:pt idx="4">
                  <c:v>Friday</c:v>
                </c:pt>
              </c:strCache>
            </c:strRef>
          </c:cat>
          <c:val>
            <c:numRef>
              <c:f>Pivots!$C$56:$C$61</c:f>
              <c:numCache>
                <c:formatCode>#,##0</c:formatCode>
                <c:ptCount val="5"/>
                <c:pt idx="0">
                  <c:v>75</c:v>
                </c:pt>
                <c:pt idx="1">
                  <c:v>70</c:v>
                </c:pt>
                <c:pt idx="2">
                  <c:v>69</c:v>
                </c:pt>
                <c:pt idx="3">
                  <c:v>67</c:v>
                </c:pt>
                <c:pt idx="4">
                  <c:v>60</c:v>
                </c:pt>
              </c:numCache>
            </c:numRef>
          </c:val>
          <c:extLst>
            <c:ext xmlns:c16="http://schemas.microsoft.com/office/drawing/2014/chart" uri="{C3380CC4-5D6E-409C-BE32-E72D297353CC}">
              <c16:uniqueId val="{00000000-E3FB-4A84-B969-6A2CBC430642}"/>
            </c:ext>
          </c:extLst>
        </c:ser>
        <c:dLbls>
          <c:showLegendKey val="0"/>
          <c:showVal val="0"/>
          <c:showCatName val="0"/>
          <c:showSerName val="0"/>
          <c:showPercent val="0"/>
          <c:showBubbleSize val="0"/>
        </c:dLbls>
        <c:axId val="834862704"/>
        <c:axId val="834863184"/>
      </c:areaChart>
      <c:lineChart>
        <c:grouping val="stacked"/>
        <c:varyColors val="0"/>
        <c:ser>
          <c:idx val="0"/>
          <c:order val="0"/>
          <c:tx>
            <c:strRef>
              <c:f>Pivots!$B$55</c:f>
              <c:strCache>
                <c:ptCount val="1"/>
                <c:pt idx="0">
                  <c:v>Sample Count</c:v>
                </c:pt>
              </c:strCache>
            </c:strRef>
          </c:tx>
          <c:spPr>
            <a:ln w="28575" cap="rnd">
              <a:solidFill>
                <a:schemeClr val="bg2">
                  <a:lumMod val="50000"/>
                </a:schemeClr>
              </a:solidFill>
              <a:round/>
            </a:ln>
            <a:effectLst/>
          </c:spPr>
          <c:marker>
            <c:symbol val="circle"/>
            <c:size val="7"/>
            <c:spPr>
              <a:solidFill>
                <a:schemeClr val="bg1"/>
              </a:solidFill>
              <a:ln w="9525">
                <a:solidFill>
                  <a:schemeClr val="accent1"/>
                </a:solidFill>
              </a:ln>
              <a:effectLst/>
            </c:spPr>
          </c:marker>
          <c:dPt>
            <c:idx val="0"/>
            <c:marker>
              <c:symbol val="circle"/>
              <c:size val="7"/>
              <c:spPr>
                <a:solidFill>
                  <a:schemeClr val="bg1"/>
                </a:solidFill>
                <a:ln w="9525">
                  <a:solidFill>
                    <a:schemeClr val="accent1"/>
                  </a:solidFill>
                </a:ln>
                <a:effectLst/>
              </c:spPr>
            </c:marker>
            <c:bubble3D val="0"/>
            <c:extLst>
              <c:ext xmlns:c16="http://schemas.microsoft.com/office/drawing/2014/chart" uri="{C3380CC4-5D6E-409C-BE32-E72D297353CC}">
                <c16:uniqueId val="{00000001-E3FB-4A84-B969-6A2CBC430642}"/>
              </c:ext>
            </c:extLst>
          </c:dPt>
          <c:dPt>
            <c:idx val="1"/>
            <c:marker>
              <c:symbol val="circle"/>
              <c:size val="7"/>
              <c:spPr>
                <a:solidFill>
                  <a:schemeClr val="bg1"/>
                </a:solidFill>
                <a:ln w="9525">
                  <a:solidFill>
                    <a:schemeClr val="accent1"/>
                  </a:solidFill>
                </a:ln>
                <a:effectLst/>
              </c:spPr>
            </c:marker>
            <c:bubble3D val="0"/>
            <c:extLst>
              <c:ext xmlns:c16="http://schemas.microsoft.com/office/drawing/2014/chart" uri="{C3380CC4-5D6E-409C-BE32-E72D297353CC}">
                <c16:uniqueId val="{00000002-E3FB-4A84-B969-6A2CBC430642}"/>
              </c:ext>
            </c:extLst>
          </c:dPt>
          <c:dPt>
            <c:idx val="2"/>
            <c:marker>
              <c:symbol val="circle"/>
              <c:size val="7"/>
              <c:spPr>
                <a:solidFill>
                  <a:schemeClr val="bg1"/>
                </a:solidFill>
                <a:ln w="9525">
                  <a:solidFill>
                    <a:schemeClr val="accent1"/>
                  </a:solidFill>
                </a:ln>
                <a:effectLst/>
              </c:spPr>
            </c:marker>
            <c:bubble3D val="0"/>
            <c:extLst>
              <c:ext xmlns:c16="http://schemas.microsoft.com/office/drawing/2014/chart" uri="{C3380CC4-5D6E-409C-BE32-E72D297353CC}">
                <c16:uniqueId val="{00000003-E3FB-4A84-B969-6A2CBC430642}"/>
              </c:ext>
            </c:extLst>
          </c:dPt>
          <c:dPt>
            <c:idx val="3"/>
            <c:marker>
              <c:symbol val="circle"/>
              <c:size val="7"/>
              <c:spPr>
                <a:solidFill>
                  <a:schemeClr val="bg1"/>
                </a:solidFill>
                <a:ln w="9525">
                  <a:solidFill>
                    <a:schemeClr val="accent1"/>
                  </a:solidFill>
                </a:ln>
                <a:effectLst/>
              </c:spPr>
            </c:marker>
            <c:bubble3D val="0"/>
            <c:extLst>
              <c:ext xmlns:c16="http://schemas.microsoft.com/office/drawing/2014/chart" uri="{C3380CC4-5D6E-409C-BE32-E72D297353CC}">
                <c16:uniqueId val="{00000004-E3FB-4A84-B969-6A2CBC430642}"/>
              </c:ext>
            </c:extLst>
          </c:dPt>
          <c:dPt>
            <c:idx val="4"/>
            <c:marker>
              <c:symbol val="circle"/>
              <c:size val="7"/>
              <c:spPr>
                <a:solidFill>
                  <a:schemeClr val="bg1"/>
                </a:solidFill>
                <a:ln w="9525">
                  <a:solidFill>
                    <a:schemeClr val="accent1"/>
                  </a:solidFill>
                </a:ln>
                <a:effectLst/>
              </c:spPr>
            </c:marker>
            <c:bubble3D val="0"/>
            <c:extLst>
              <c:ext xmlns:c16="http://schemas.microsoft.com/office/drawing/2014/chart" uri="{C3380CC4-5D6E-409C-BE32-E72D297353CC}">
                <c16:uniqueId val="{00000005-E3FB-4A84-B969-6A2CBC430642}"/>
              </c:ext>
            </c:extLst>
          </c:dPt>
          <c:cat>
            <c:strRef>
              <c:f>Pivots!$A$56:$A$61</c:f>
              <c:strCache>
                <c:ptCount val="5"/>
                <c:pt idx="0">
                  <c:v>Monday</c:v>
                </c:pt>
                <c:pt idx="1">
                  <c:v>Tuesday</c:v>
                </c:pt>
                <c:pt idx="2">
                  <c:v>Wednesday</c:v>
                </c:pt>
                <c:pt idx="3">
                  <c:v>Thursday</c:v>
                </c:pt>
                <c:pt idx="4">
                  <c:v>Friday</c:v>
                </c:pt>
              </c:strCache>
            </c:strRef>
          </c:cat>
          <c:val>
            <c:numRef>
              <c:f>Pivots!$B$56:$B$61</c:f>
              <c:numCache>
                <c:formatCode>#,##0</c:formatCode>
                <c:ptCount val="5"/>
                <c:pt idx="0">
                  <c:v>75</c:v>
                </c:pt>
                <c:pt idx="1">
                  <c:v>70</c:v>
                </c:pt>
                <c:pt idx="2">
                  <c:v>69</c:v>
                </c:pt>
                <c:pt idx="3">
                  <c:v>67</c:v>
                </c:pt>
                <c:pt idx="4">
                  <c:v>60</c:v>
                </c:pt>
              </c:numCache>
            </c:numRef>
          </c:val>
          <c:smooth val="0"/>
          <c:extLst>
            <c:ext xmlns:c16="http://schemas.microsoft.com/office/drawing/2014/chart" uri="{C3380CC4-5D6E-409C-BE32-E72D297353CC}">
              <c16:uniqueId val="{00000006-E3FB-4A84-B969-6A2CBC430642}"/>
            </c:ext>
          </c:extLst>
        </c:ser>
        <c:dLbls>
          <c:showLegendKey val="0"/>
          <c:showVal val="0"/>
          <c:showCatName val="0"/>
          <c:showSerName val="0"/>
          <c:showPercent val="0"/>
          <c:showBubbleSize val="0"/>
        </c:dLbls>
        <c:marker val="1"/>
        <c:smooth val="0"/>
        <c:axId val="834862704"/>
        <c:axId val="834863184"/>
      </c:lineChart>
      <c:lineChart>
        <c:grouping val="standard"/>
        <c:varyColors val="0"/>
        <c:ser>
          <c:idx val="2"/>
          <c:order val="2"/>
          <c:tx>
            <c:strRef>
              <c:f>Pivots!$D$55</c:f>
              <c:strCache>
                <c:ptCount val="1"/>
                <c:pt idx="0">
                  <c:v>Analytical Failure Rate</c:v>
                </c:pt>
              </c:strCache>
            </c:strRef>
          </c:tx>
          <c:spPr>
            <a:ln w="28575" cap="rnd">
              <a:solidFill>
                <a:schemeClr val="accent6">
                  <a:lumMod val="75000"/>
                </a:schemeClr>
              </a:solidFill>
              <a:round/>
            </a:ln>
            <a:effectLst/>
          </c:spPr>
          <c:marker>
            <c:symbol val="none"/>
          </c:marker>
          <c:dPt>
            <c:idx val="0"/>
            <c:marker>
              <c:symbol val="none"/>
            </c:marker>
            <c:bubble3D val="0"/>
            <c:extLst>
              <c:ext xmlns:c16="http://schemas.microsoft.com/office/drawing/2014/chart" uri="{C3380CC4-5D6E-409C-BE32-E72D297353CC}">
                <c16:uniqueId val="{00000007-E3FB-4A84-B969-6A2CBC430642}"/>
              </c:ext>
            </c:extLst>
          </c:dPt>
          <c:dPt>
            <c:idx val="1"/>
            <c:marker>
              <c:symbol val="none"/>
            </c:marker>
            <c:bubble3D val="0"/>
            <c:extLst>
              <c:ext xmlns:c16="http://schemas.microsoft.com/office/drawing/2014/chart" uri="{C3380CC4-5D6E-409C-BE32-E72D297353CC}">
                <c16:uniqueId val="{00000008-E3FB-4A84-B969-6A2CBC430642}"/>
              </c:ext>
            </c:extLst>
          </c:dPt>
          <c:dPt>
            <c:idx val="2"/>
            <c:marker>
              <c:symbol val="none"/>
            </c:marker>
            <c:bubble3D val="0"/>
            <c:extLst>
              <c:ext xmlns:c16="http://schemas.microsoft.com/office/drawing/2014/chart" uri="{C3380CC4-5D6E-409C-BE32-E72D297353CC}">
                <c16:uniqueId val="{00000009-E3FB-4A84-B969-6A2CBC430642}"/>
              </c:ext>
            </c:extLst>
          </c:dPt>
          <c:dPt>
            <c:idx val="3"/>
            <c:marker>
              <c:symbol val="none"/>
            </c:marker>
            <c:bubble3D val="0"/>
            <c:extLst>
              <c:ext xmlns:c16="http://schemas.microsoft.com/office/drawing/2014/chart" uri="{C3380CC4-5D6E-409C-BE32-E72D297353CC}">
                <c16:uniqueId val="{0000000A-E3FB-4A84-B969-6A2CBC430642}"/>
              </c:ext>
            </c:extLst>
          </c:dPt>
          <c:cat>
            <c:strRef>
              <c:f>Pivots!$A$56:$A$61</c:f>
              <c:strCache>
                <c:ptCount val="5"/>
                <c:pt idx="0">
                  <c:v>Monday</c:v>
                </c:pt>
                <c:pt idx="1">
                  <c:v>Tuesday</c:v>
                </c:pt>
                <c:pt idx="2">
                  <c:v>Wednesday</c:v>
                </c:pt>
                <c:pt idx="3">
                  <c:v>Thursday</c:v>
                </c:pt>
                <c:pt idx="4">
                  <c:v>Friday</c:v>
                </c:pt>
              </c:strCache>
            </c:strRef>
          </c:cat>
          <c:val>
            <c:numRef>
              <c:f>Pivots!$D$56:$D$61</c:f>
              <c:numCache>
                <c:formatCode>0.00%;\-0.00%;0.00%</c:formatCode>
                <c:ptCount val="5"/>
                <c:pt idx="0">
                  <c:v>0.08</c:v>
                </c:pt>
                <c:pt idx="1">
                  <c:v>5.7142857142857141E-2</c:v>
                </c:pt>
                <c:pt idx="2">
                  <c:v>2.8985507246376812E-2</c:v>
                </c:pt>
                <c:pt idx="3">
                  <c:v>7.4626865671641784E-2</c:v>
                </c:pt>
                <c:pt idx="4">
                  <c:v>0.05</c:v>
                </c:pt>
              </c:numCache>
            </c:numRef>
          </c:val>
          <c:smooth val="0"/>
          <c:extLst>
            <c:ext xmlns:c16="http://schemas.microsoft.com/office/drawing/2014/chart" uri="{C3380CC4-5D6E-409C-BE32-E72D297353CC}">
              <c16:uniqueId val="{0000000B-E3FB-4A84-B969-6A2CBC430642}"/>
            </c:ext>
          </c:extLst>
        </c:ser>
        <c:dLbls>
          <c:showLegendKey val="0"/>
          <c:showVal val="0"/>
          <c:showCatName val="0"/>
          <c:showSerName val="0"/>
          <c:showPercent val="0"/>
          <c:showBubbleSize val="0"/>
        </c:dLbls>
        <c:marker val="1"/>
        <c:smooth val="0"/>
        <c:axId val="1401549791"/>
        <c:axId val="1401549311"/>
      </c:lineChart>
      <c:catAx>
        <c:axId val="83486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863184"/>
        <c:crosses val="autoZero"/>
        <c:auto val="1"/>
        <c:lblAlgn val="ctr"/>
        <c:lblOffset val="100"/>
        <c:noMultiLvlLbl val="0"/>
      </c:catAx>
      <c:valAx>
        <c:axId val="8348631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862704"/>
        <c:crosses val="autoZero"/>
        <c:crossBetween val="between"/>
      </c:valAx>
      <c:valAx>
        <c:axId val="1401549311"/>
        <c:scaling>
          <c:orientation val="minMax"/>
          <c:min val="0"/>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49791"/>
        <c:crosses val="max"/>
        <c:crossBetween val="between"/>
      </c:valAx>
      <c:catAx>
        <c:axId val="1401549791"/>
        <c:scaling>
          <c:orientation val="minMax"/>
        </c:scaling>
        <c:delete val="1"/>
        <c:axPos val="b"/>
        <c:numFmt formatCode="General" sourceLinked="1"/>
        <c:majorTickMark val="out"/>
        <c:minorTickMark val="none"/>
        <c:tickLblPos val="nextTo"/>
        <c:crossAx val="14015493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[LIS_EHR_Interoperability_Diagnostic_Dashboard_v1.xlsx]Pivots!Chart Valid vs. Invalid Sample Count By Analyzer</c:name>
    <c:fmtId val="2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solidFill>
                  <a:schemeClr val="accent4">
                    <a:lumMod val="75000"/>
                  </a:schemeClr>
                </a:solidFill>
              </a:rPr>
              <a:t>Valid</a:t>
            </a:r>
            <a:r>
              <a:rPr lang="en-US" sz="1800" b="1"/>
              <a:t> vs.</a:t>
            </a:r>
            <a:r>
              <a:rPr lang="en-US" sz="1800" b="1" baseline="0"/>
              <a:t> </a:t>
            </a:r>
            <a:r>
              <a:rPr lang="en-US" sz="1800" b="1" baseline="0">
                <a:solidFill>
                  <a:schemeClr val="accent5">
                    <a:lumMod val="75000"/>
                  </a:schemeClr>
                </a:solidFill>
              </a:rPr>
              <a:t>Invalid</a:t>
            </a:r>
            <a:r>
              <a:rPr lang="en-US" sz="1800" b="1" baseline="0"/>
              <a:t> Sample Count</a:t>
            </a:r>
            <a:endParaRPr lang="en-US" sz="1800" b="1"/>
          </a:p>
        </c:rich>
      </c:tx>
      <c:layout>
        <c:manualLayout>
          <c:xMode val="edge"/>
          <c:yMode val="edge"/>
          <c:x val="2.6159667541557342E-2"/>
          <c:y val="3.703703703703703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lumMod val="75000"/>
            </a:schemeClr>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5">
              <a:lumMod val="75000"/>
            </a:schemeClr>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4">
              <a:lumMod val="75000"/>
            </a:schemeClr>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5">
              <a:lumMod val="75000"/>
            </a:schemeClr>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chemeClr val="accent4">
              <a:lumMod val="75000"/>
            </a:schemeClr>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bar"/>
        <c:grouping val="stacked"/>
        <c:varyColors val="0"/>
        <c:ser>
          <c:idx val="0"/>
          <c:order val="0"/>
          <c:tx>
            <c:strRef>
              <c:f>Pivots!$B$64:$B$65</c:f>
              <c:strCache>
                <c:ptCount val="1"/>
                <c:pt idx="0">
                  <c:v>Critical Error</c:v>
                </c:pt>
              </c:strCache>
            </c:strRef>
          </c:tx>
          <c:spPr>
            <a:solidFill>
              <a:schemeClr val="accent5">
                <a:lumMod val="75000"/>
              </a:schemeClr>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Pivots!$A$66:$A$67</c:f>
              <c:strCache>
                <c:ptCount val="1"/>
                <c:pt idx="0">
                  <c:v>Abbott Alinity</c:v>
                </c:pt>
              </c:strCache>
            </c:strRef>
          </c:cat>
          <c:val>
            <c:numRef>
              <c:f>Pivots!$B$66:$B$67</c:f>
              <c:numCache>
                <c:formatCode>#,##0</c:formatCode>
                <c:ptCount val="1"/>
                <c:pt idx="0">
                  <c:v>20</c:v>
                </c:pt>
              </c:numCache>
            </c:numRef>
          </c:val>
          <c:extLst>
            <c:ext xmlns:c16="http://schemas.microsoft.com/office/drawing/2014/chart" uri="{C3380CC4-5D6E-409C-BE32-E72D297353CC}">
              <c16:uniqueId val="{00000000-61C2-46BC-8B8A-5E6367143BA6}"/>
            </c:ext>
          </c:extLst>
        </c:ser>
        <c:ser>
          <c:idx val="1"/>
          <c:order val="1"/>
          <c:tx>
            <c:strRef>
              <c:f>Pivots!$C$64:$C$65</c:f>
              <c:strCache>
                <c:ptCount val="1"/>
                <c:pt idx="0">
                  <c:v>Valid</c:v>
                </c:pt>
              </c:strCache>
            </c:strRef>
          </c:tx>
          <c:spPr>
            <a:solidFill>
              <a:schemeClr val="accent4">
                <a:lumMod val="75000"/>
              </a:schemeClr>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Pivots!$A$66:$A$67</c:f>
              <c:strCache>
                <c:ptCount val="1"/>
                <c:pt idx="0">
                  <c:v>Abbott Alinity</c:v>
                </c:pt>
              </c:strCache>
            </c:strRef>
          </c:cat>
          <c:val>
            <c:numRef>
              <c:f>Pivots!$C$66:$C$67</c:f>
              <c:numCache>
                <c:formatCode>#,##0</c:formatCode>
                <c:ptCount val="1"/>
                <c:pt idx="0">
                  <c:v>321</c:v>
                </c:pt>
              </c:numCache>
            </c:numRef>
          </c:val>
          <c:extLst>
            <c:ext xmlns:c16="http://schemas.microsoft.com/office/drawing/2014/chart" uri="{C3380CC4-5D6E-409C-BE32-E72D297353CC}">
              <c16:uniqueId val="{00000001-61C2-46BC-8B8A-5E6367143BA6}"/>
            </c:ext>
          </c:extLst>
        </c:ser>
        <c:dLbls>
          <c:dLblPos val="ctr"/>
          <c:showLegendKey val="0"/>
          <c:showVal val="1"/>
          <c:showCatName val="0"/>
          <c:showSerName val="0"/>
          <c:showPercent val="0"/>
          <c:showBubbleSize val="0"/>
        </c:dLbls>
        <c:gapWidth val="25"/>
        <c:overlap val="100"/>
        <c:axId val="771130848"/>
        <c:axId val="771127488"/>
      </c:barChart>
      <c:catAx>
        <c:axId val="77113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127488"/>
        <c:crosses val="autoZero"/>
        <c:auto val="1"/>
        <c:lblAlgn val="ctr"/>
        <c:lblOffset val="100"/>
        <c:noMultiLvlLbl val="0"/>
      </c:catAx>
      <c:valAx>
        <c:axId val="771127488"/>
        <c:scaling>
          <c:orientation val="minMax"/>
        </c:scaling>
        <c:delete val="1"/>
        <c:axPos val="b"/>
        <c:numFmt formatCode="#,##0" sourceLinked="1"/>
        <c:majorTickMark val="none"/>
        <c:minorTickMark val="none"/>
        <c:tickLblPos val="nextTo"/>
        <c:crossAx val="77113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6.svg"/><Relationship Id="rId12" Type="http://schemas.openxmlformats.org/officeDocument/2006/relationships/chart" Target="../charts/chart2.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chart" Target="../charts/chart1.xml"/><Relationship Id="rId15" Type="http://schemas.openxmlformats.org/officeDocument/2006/relationships/chart" Target="../charts/chart5.xml"/><Relationship Id="rId10" Type="http://schemas.openxmlformats.org/officeDocument/2006/relationships/image" Target="../media/image9.pn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164517</xdr:colOff>
      <xdr:row>0</xdr:row>
      <xdr:rowOff>617002</xdr:rowOff>
    </xdr:from>
    <xdr:to>
      <xdr:col>2</xdr:col>
      <xdr:colOff>545884</xdr:colOff>
      <xdr:row>6</xdr:row>
      <xdr:rowOff>2303</xdr:rowOff>
    </xdr:to>
    <mc:AlternateContent xmlns:mc="http://schemas.openxmlformats.org/markup-compatibility/2006" xmlns:a14="http://schemas.microsoft.com/office/drawing/2010/main">
      <mc:Choice Requires="a14">
        <xdr:graphicFrame macro="">
          <xdr:nvGraphicFramePr>
            <xdr:cNvPr id="10" name="Analyzer Module">
              <a:extLst>
                <a:ext uri="{FF2B5EF4-FFF2-40B4-BE49-F238E27FC236}">
                  <a16:creationId xmlns:a16="http://schemas.microsoft.com/office/drawing/2014/main" id="{9C399498-AFAA-4DAF-B0F8-F332F83B3AC1}"/>
                </a:ext>
              </a:extLst>
            </xdr:cNvPr>
            <xdr:cNvGraphicFramePr/>
          </xdr:nvGraphicFramePr>
          <xdr:xfrm>
            <a:off x="0" y="0"/>
            <a:ext cx="0" cy="0"/>
          </xdr:xfrm>
          <a:graphic>
            <a:graphicData uri="http://schemas.microsoft.com/office/drawing/2010/slicer">
              <sle:slicer xmlns:sle="http://schemas.microsoft.com/office/drawing/2010/slicer" name="Analyzer Module"/>
            </a:graphicData>
          </a:graphic>
        </xdr:graphicFrame>
      </mc:Choice>
      <mc:Fallback xmlns="">
        <xdr:sp macro="" textlink="">
          <xdr:nvSpPr>
            <xdr:cNvPr id="0" name=""/>
            <xdr:cNvSpPr>
              <a:spLocks noTextEdit="1"/>
            </xdr:cNvSpPr>
          </xdr:nvSpPr>
          <xdr:spPr>
            <a:xfrm>
              <a:off x="164517" y="307440"/>
              <a:ext cx="1819642" cy="1242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174403</xdr:colOff>
      <xdr:row>6</xdr:row>
      <xdr:rowOff>93905</xdr:rowOff>
    </xdr:from>
    <xdr:to>
      <xdr:col>2</xdr:col>
      <xdr:colOff>554448</xdr:colOff>
      <xdr:row>8</xdr:row>
      <xdr:rowOff>255876</xdr:rowOff>
    </xdr:to>
    <xdr:sp macro="" textlink="Pivots!A4">
      <xdr:nvSpPr>
        <xdr:cNvPr id="2" name="Rectangle 1">
          <a:extLst>
            <a:ext uri="{FF2B5EF4-FFF2-40B4-BE49-F238E27FC236}">
              <a16:creationId xmlns:a16="http://schemas.microsoft.com/office/drawing/2014/main" id="{61EA1ED9-6C4B-2763-F28A-BD902C95A4F1}"/>
            </a:ext>
          </a:extLst>
        </xdr:cNvPr>
        <xdr:cNvSpPr/>
      </xdr:nvSpPr>
      <xdr:spPr>
        <a:xfrm>
          <a:off x="174403" y="1713155"/>
          <a:ext cx="1818320" cy="885871"/>
        </a:xfrm>
        <a:prstGeom prst="rect">
          <a:avLst/>
        </a:prstGeom>
        <a:solidFill>
          <a:srgbClr val="DBEAFE"/>
        </a:solidFill>
        <a:ln w="6350">
          <a:solidFill>
            <a:schemeClr val="tx1">
              <a:lumMod val="50000"/>
              <a:lumOff val="50000"/>
            </a:schemeClr>
          </a:solidFill>
        </a:ln>
        <a:effectLst>
          <a:outerShdw blurRad="127000" dist="25400" dir="2700000" sx="40000" sy="4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4A00CC4-5A43-44CD-9423-13FD4018E795}" type="TxLink">
            <a:rPr lang="en-US" sz="2000" b="1" i="0" u="none" strike="noStrike">
              <a:solidFill>
                <a:schemeClr val="tx1">
                  <a:lumMod val="65000"/>
                  <a:lumOff val="35000"/>
                </a:schemeClr>
              </a:solidFill>
              <a:latin typeface="Calibri"/>
              <a:ea typeface="Calibri"/>
              <a:cs typeface="Calibri"/>
            </a:rPr>
            <a:pPr marL="0" indent="0" algn="ctr"/>
            <a:t>1,000</a:t>
          </a:fld>
          <a:endParaRPr lang="en-US" sz="2000" b="1" i="0" u="none" strike="noStrike">
            <a:solidFill>
              <a:schemeClr val="tx1">
                <a:lumMod val="65000"/>
                <a:lumOff val="35000"/>
              </a:schemeClr>
            </a:solidFill>
            <a:latin typeface="Calibri"/>
            <a:ea typeface="Calibri"/>
            <a:cs typeface="Calibri"/>
          </a:endParaRPr>
        </a:p>
      </xdr:txBody>
    </xdr:sp>
    <xdr:clientData/>
  </xdr:twoCellAnchor>
  <xdr:twoCellAnchor>
    <xdr:from>
      <xdr:col>0</xdr:col>
      <xdr:colOff>174404</xdr:colOff>
      <xdr:row>6</xdr:row>
      <xdr:rowOff>138915</xdr:rowOff>
    </xdr:from>
    <xdr:to>
      <xdr:col>2</xdr:col>
      <xdr:colOff>550035</xdr:colOff>
      <xdr:row>7</xdr:row>
      <xdr:rowOff>128519</xdr:rowOff>
    </xdr:to>
    <xdr:sp macro="" textlink="">
      <xdr:nvSpPr>
        <xdr:cNvPr id="4" name="TextBox 3">
          <a:extLst>
            <a:ext uri="{FF2B5EF4-FFF2-40B4-BE49-F238E27FC236}">
              <a16:creationId xmlns:a16="http://schemas.microsoft.com/office/drawing/2014/main" id="{D8B24219-7C5C-6E7B-8D33-BDD4E546F57A}"/>
            </a:ext>
          </a:extLst>
        </xdr:cNvPr>
        <xdr:cNvSpPr txBox="1"/>
      </xdr:nvSpPr>
      <xdr:spPr>
        <a:xfrm>
          <a:off x="174404" y="1758165"/>
          <a:ext cx="1813906" cy="351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1">
                  <a:lumMod val="65000"/>
                  <a:lumOff val="35000"/>
                </a:schemeClr>
              </a:solidFill>
            </a:rPr>
            <a:t>Sample</a:t>
          </a:r>
          <a:r>
            <a:rPr lang="en-US" sz="1100" b="1" baseline="0">
              <a:solidFill>
                <a:schemeClr val="tx1">
                  <a:lumMod val="65000"/>
                  <a:lumOff val="35000"/>
                </a:schemeClr>
              </a:solidFill>
            </a:rPr>
            <a:t> Count</a:t>
          </a:r>
          <a:endParaRPr lang="en-US" sz="1100" b="1">
            <a:solidFill>
              <a:schemeClr val="tx1">
                <a:lumMod val="65000"/>
                <a:lumOff val="35000"/>
              </a:schemeClr>
            </a:solidFill>
          </a:endParaRPr>
        </a:p>
      </xdr:txBody>
    </xdr:sp>
    <xdr:clientData/>
  </xdr:twoCellAnchor>
  <xdr:twoCellAnchor editAs="oneCell">
    <xdr:from>
      <xdr:col>0</xdr:col>
      <xdr:colOff>202976</xdr:colOff>
      <xdr:row>6</xdr:row>
      <xdr:rowOff>103430</xdr:rowOff>
    </xdr:from>
    <xdr:to>
      <xdr:col>0</xdr:col>
      <xdr:colOff>457421</xdr:colOff>
      <xdr:row>7</xdr:row>
      <xdr:rowOff>1071</xdr:rowOff>
    </xdr:to>
    <xdr:pic>
      <xdr:nvPicPr>
        <xdr:cNvPr id="6" name="Graphic 5" descr="Test tubes with solid fill">
          <a:extLst>
            <a:ext uri="{FF2B5EF4-FFF2-40B4-BE49-F238E27FC236}">
              <a16:creationId xmlns:a16="http://schemas.microsoft.com/office/drawing/2014/main" id="{D10DB59F-C054-67BC-08D9-D0313D53D07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2976" y="1722680"/>
          <a:ext cx="254445" cy="259591"/>
        </a:xfrm>
        <a:prstGeom prst="rect">
          <a:avLst/>
        </a:prstGeom>
      </xdr:spPr>
    </xdr:pic>
    <xdr:clientData/>
  </xdr:twoCellAnchor>
  <xdr:twoCellAnchor>
    <xdr:from>
      <xdr:col>0</xdr:col>
      <xdr:colOff>174405</xdr:colOff>
      <xdr:row>7</xdr:row>
      <xdr:rowOff>328465</xdr:rowOff>
    </xdr:from>
    <xdr:to>
      <xdr:col>2</xdr:col>
      <xdr:colOff>554449</xdr:colOff>
      <xdr:row>8</xdr:row>
      <xdr:rowOff>234607</xdr:rowOff>
    </xdr:to>
    <xdr:sp macro="" textlink="Pivots!A8">
      <xdr:nvSpPr>
        <xdr:cNvPr id="7" name="TextBox 6">
          <a:extLst>
            <a:ext uri="{FF2B5EF4-FFF2-40B4-BE49-F238E27FC236}">
              <a16:creationId xmlns:a16="http://schemas.microsoft.com/office/drawing/2014/main" id="{9AE556B7-2BC7-4B82-804A-81940E1BBC5C}"/>
            </a:ext>
          </a:extLst>
        </xdr:cNvPr>
        <xdr:cNvSpPr txBox="1"/>
      </xdr:nvSpPr>
      <xdr:spPr>
        <a:xfrm>
          <a:off x="174405" y="2309665"/>
          <a:ext cx="1818319" cy="268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20E5D5F-DC71-4013-9995-6A984FDEA2AE}" type="TxLink">
            <a:rPr lang="en-US" sz="1050" b="1" i="0" u="none" strike="noStrike">
              <a:solidFill>
                <a:schemeClr val="tx1">
                  <a:lumMod val="65000"/>
                  <a:lumOff val="35000"/>
                </a:schemeClr>
              </a:solidFill>
              <a:latin typeface="Calibri"/>
              <a:ea typeface="Calibri"/>
              <a:cs typeface="Calibri"/>
            </a:rPr>
            <a:pPr marL="0" indent="0" algn="ctr"/>
            <a:t>341</a:t>
          </a:fld>
          <a:endParaRPr lang="en-US" sz="1050" b="1" i="0" u="none" strike="noStrike">
            <a:solidFill>
              <a:schemeClr val="tx1">
                <a:lumMod val="65000"/>
                <a:lumOff val="35000"/>
              </a:schemeClr>
            </a:solidFill>
            <a:latin typeface="Calibri"/>
            <a:ea typeface="Calibri"/>
            <a:cs typeface="Calibri"/>
          </a:endParaRPr>
        </a:p>
      </xdr:txBody>
    </xdr:sp>
    <xdr:clientData/>
  </xdr:twoCellAnchor>
  <xdr:twoCellAnchor>
    <xdr:from>
      <xdr:col>0</xdr:col>
      <xdr:colOff>174403</xdr:colOff>
      <xdr:row>9</xdr:row>
      <xdr:rowOff>4343</xdr:rowOff>
    </xdr:from>
    <xdr:to>
      <xdr:col>2</xdr:col>
      <xdr:colOff>555537</xdr:colOff>
      <xdr:row>11</xdr:row>
      <xdr:rowOff>169719</xdr:rowOff>
    </xdr:to>
    <xdr:sp macro="" textlink="Pivots!B4">
      <xdr:nvSpPr>
        <xdr:cNvPr id="12" name="Rectangle 11">
          <a:extLst>
            <a:ext uri="{FF2B5EF4-FFF2-40B4-BE49-F238E27FC236}">
              <a16:creationId xmlns:a16="http://schemas.microsoft.com/office/drawing/2014/main" id="{B000C02B-7107-4C74-B953-8EE4F662AF72}"/>
            </a:ext>
          </a:extLst>
        </xdr:cNvPr>
        <xdr:cNvSpPr/>
      </xdr:nvSpPr>
      <xdr:spPr>
        <a:xfrm>
          <a:off x="174403" y="2709443"/>
          <a:ext cx="1819409" cy="889276"/>
        </a:xfrm>
        <a:prstGeom prst="rect">
          <a:avLst/>
        </a:prstGeom>
        <a:solidFill>
          <a:srgbClr val="DBEAFE"/>
        </a:solidFill>
        <a:ln w="6350">
          <a:solidFill>
            <a:schemeClr val="tx1">
              <a:lumMod val="50000"/>
              <a:lumOff val="50000"/>
            </a:schemeClr>
          </a:solidFill>
        </a:ln>
        <a:effectLst>
          <a:outerShdw blurRad="127000" dist="25400" dir="2700000" sx="40000" sy="4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9CC6360-7DDC-4D45-8BD1-95D9040730A4}" type="TxLink">
            <a:rPr lang="en-US" sz="2000" b="1" i="0" u="none" strike="noStrike">
              <a:solidFill>
                <a:schemeClr val="tx1">
                  <a:lumMod val="65000"/>
                  <a:lumOff val="35000"/>
                </a:schemeClr>
              </a:solidFill>
              <a:latin typeface="Calibri"/>
              <a:ea typeface="Calibri"/>
              <a:cs typeface="Calibri"/>
            </a:rPr>
            <a:pPr marL="0" indent="0" algn="ctr"/>
            <a:t>36,913</a:t>
          </a:fld>
          <a:endParaRPr lang="en-US" sz="2000" b="1" i="0" u="none" strike="noStrike">
            <a:solidFill>
              <a:schemeClr val="tx1">
                <a:lumMod val="65000"/>
                <a:lumOff val="35000"/>
              </a:schemeClr>
            </a:solidFill>
            <a:latin typeface="Calibri"/>
            <a:ea typeface="Calibri"/>
            <a:cs typeface="Calibri"/>
          </a:endParaRPr>
        </a:p>
      </xdr:txBody>
    </xdr:sp>
    <xdr:clientData/>
  </xdr:twoCellAnchor>
  <xdr:twoCellAnchor>
    <xdr:from>
      <xdr:col>0</xdr:col>
      <xdr:colOff>265124</xdr:colOff>
      <xdr:row>9</xdr:row>
      <xdr:rowOff>58873</xdr:rowOff>
    </xdr:from>
    <xdr:to>
      <xdr:col>2</xdr:col>
      <xdr:colOff>643942</xdr:colOff>
      <xdr:row>10</xdr:row>
      <xdr:rowOff>43209</xdr:rowOff>
    </xdr:to>
    <xdr:sp macro="" textlink="">
      <xdr:nvSpPr>
        <xdr:cNvPr id="13" name="TextBox 12">
          <a:extLst>
            <a:ext uri="{FF2B5EF4-FFF2-40B4-BE49-F238E27FC236}">
              <a16:creationId xmlns:a16="http://schemas.microsoft.com/office/drawing/2014/main" id="{99A8D24D-06EF-4B8E-960E-71599138BF98}"/>
            </a:ext>
          </a:extLst>
        </xdr:cNvPr>
        <xdr:cNvSpPr txBox="1"/>
      </xdr:nvSpPr>
      <xdr:spPr>
        <a:xfrm>
          <a:off x="265124" y="2763973"/>
          <a:ext cx="1817093" cy="346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1">
                  <a:lumMod val="65000"/>
                  <a:lumOff val="35000"/>
                </a:schemeClr>
              </a:solidFill>
            </a:rPr>
            <a:t>Total</a:t>
          </a:r>
          <a:r>
            <a:rPr lang="en-US" sz="1100" b="1" baseline="0">
              <a:solidFill>
                <a:schemeClr val="tx1">
                  <a:lumMod val="65000"/>
                  <a:lumOff val="35000"/>
                </a:schemeClr>
              </a:solidFill>
            </a:rPr>
            <a:t> </a:t>
          </a:r>
          <a:r>
            <a:rPr lang="en-US" sz="1100" b="1">
              <a:solidFill>
                <a:schemeClr val="tx1">
                  <a:lumMod val="65000"/>
                  <a:lumOff val="35000"/>
                </a:schemeClr>
              </a:solidFill>
            </a:rPr>
            <a:t>Processing Time (Min)</a:t>
          </a:r>
        </a:p>
      </xdr:txBody>
    </xdr:sp>
    <xdr:clientData/>
  </xdr:twoCellAnchor>
  <xdr:twoCellAnchor>
    <xdr:from>
      <xdr:col>0</xdr:col>
      <xdr:colOff>174403</xdr:colOff>
      <xdr:row>10</xdr:row>
      <xdr:rowOff>237965</xdr:rowOff>
    </xdr:from>
    <xdr:to>
      <xdr:col>2</xdr:col>
      <xdr:colOff>565271</xdr:colOff>
      <xdr:row>11</xdr:row>
      <xdr:rowOff>147801</xdr:rowOff>
    </xdr:to>
    <xdr:sp macro="" textlink="Pivots!K8">
      <xdr:nvSpPr>
        <xdr:cNvPr id="15" name="TextBox 14">
          <a:extLst>
            <a:ext uri="{FF2B5EF4-FFF2-40B4-BE49-F238E27FC236}">
              <a16:creationId xmlns:a16="http://schemas.microsoft.com/office/drawing/2014/main" id="{E81510DE-2A41-4E3E-B4BF-000533F62283}"/>
            </a:ext>
          </a:extLst>
        </xdr:cNvPr>
        <xdr:cNvSpPr txBox="1"/>
      </xdr:nvSpPr>
      <xdr:spPr>
        <a:xfrm>
          <a:off x="174403" y="3305015"/>
          <a:ext cx="1829143" cy="271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0FDAC4-3FF8-4460-8A13-E91AB3A5A64A}" type="TxLink">
            <a:rPr lang="en-US" sz="1050" b="1" i="0" u="none" strike="noStrike">
              <a:solidFill>
                <a:schemeClr val="tx1">
                  <a:lumMod val="65000"/>
                  <a:lumOff val="35000"/>
                </a:schemeClr>
              </a:solidFill>
              <a:latin typeface="Calibri"/>
              <a:ea typeface="Calibri"/>
              <a:cs typeface="Calibri"/>
            </a:rPr>
            <a:pPr marL="0" indent="0" algn="ctr"/>
            <a:t>17.12</a:t>
          </a:fld>
          <a:endParaRPr lang="en-US" sz="1050" b="1" i="0" u="none" strike="noStrike">
            <a:solidFill>
              <a:schemeClr val="tx1">
                <a:lumMod val="65000"/>
                <a:lumOff val="35000"/>
              </a:schemeClr>
            </a:solidFill>
            <a:latin typeface="Calibri"/>
            <a:ea typeface="Calibri"/>
            <a:cs typeface="Calibri"/>
          </a:endParaRPr>
        </a:p>
      </xdr:txBody>
    </xdr:sp>
    <xdr:clientData/>
  </xdr:twoCellAnchor>
  <xdr:twoCellAnchor>
    <xdr:from>
      <xdr:col>0</xdr:col>
      <xdr:colOff>200161</xdr:colOff>
      <xdr:row>14</xdr:row>
      <xdr:rowOff>201354</xdr:rowOff>
    </xdr:from>
    <xdr:to>
      <xdr:col>2</xdr:col>
      <xdr:colOff>594044</xdr:colOff>
      <xdr:row>17</xdr:row>
      <xdr:rowOff>3671</xdr:rowOff>
    </xdr:to>
    <xdr:sp macro="" textlink="Pivots!G4">
      <xdr:nvSpPr>
        <xdr:cNvPr id="16" name="Rectangle 15">
          <a:extLst>
            <a:ext uri="{FF2B5EF4-FFF2-40B4-BE49-F238E27FC236}">
              <a16:creationId xmlns:a16="http://schemas.microsoft.com/office/drawing/2014/main" id="{64E0A728-75FA-474B-906B-582F35D2BA09}"/>
            </a:ext>
          </a:extLst>
        </xdr:cNvPr>
        <xdr:cNvSpPr/>
      </xdr:nvSpPr>
      <xdr:spPr>
        <a:xfrm>
          <a:off x="200161" y="4716204"/>
          <a:ext cx="1832158" cy="888167"/>
        </a:xfrm>
        <a:prstGeom prst="rect">
          <a:avLst/>
        </a:prstGeom>
        <a:solidFill>
          <a:srgbClr val="DBEAFE"/>
        </a:solidFill>
        <a:ln w="6350">
          <a:solidFill>
            <a:schemeClr val="tx1">
              <a:lumMod val="50000"/>
              <a:lumOff val="50000"/>
            </a:schemeClr>
          </a:solidFill>
        </a:ln>
        <a:effectLst>
          <a:outerShdw blurRad="127000" dist="25400" dir="2700000" sx="40000" sy="4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C7DF51C-7244-46E8-A3F6-D75E4FAA5892}" type="TxLink">
            <a:rPr lang="en-US" sz="2000" b="1" i="0" u="none" strike="noStrike">
              <a:solidFill>
                <a:schemeClr val="tx1">
                  <a:lumMod val="65000"/>
                  <a:lumOff val="35000"/>
                </a:schemeClr>
              </a:solidFill>
              <a:latin typeface="Calibri"/>
              <a:ea typeface="Calibri"/>
              <a:cs typeface="Calibri"/>
            </a:rPr>
            <a:pPr marL="0" indent="0" algn="ctr"/>
            <a:t>92.10%</a:t>
          </a:fld>
          <a:endParaRPr lang="en-US" sz="2000" b="1" i="0" u="none" strike="noStrike">
            <a:solidFill>
              <a:schemeClr val="tx1">
                <a:lumMod val="65000"/>
                <a:lumOff val="35000"/>
              </a:schemeClr>
            </a:solidFill>
            <a:latin typeface="Calibri"/>
            <a:ea typeface="Calibri"/>
            <a:cs typeface="Calibri"/>
          </a:endParaRPr>
        </a:p>
      </xdr:txBody>
    </xdr:sp>
    <xdr:clientData/>
  </xdr:twoCellAnchor>
  <xdr:twoCellAnchor>
    <xdr:from>
      <xdr:col>0</xdr:col>
      <xdr:colOff>427648</xdr:colOff>
      <xdr:row>14</xdr:row>
      <xdr:rowOff>260648</xdr:rowOff>
    </xdr:from>
    <xdr:to>
      <xdr:col>2</xdr:col>
      <xdr:colOff>641378</xdr:colOff>
      <xdr:row>15</xdr:row>
      <xdr:rowOff>295770</xdr:rowOff>
    </xdr:to>
    <xdr:sp macro="" textlink="">
      <xdr:nvSpPr>
        <xdr:cNvPr id="17" name="TextBox 16">
          <a:extLst>
            <a:ext uri="{FF2B5EF4-FFF2-40B4-BE49-F238E27FC236}">
              <a16:creationId xmlns:a16="http://schemas.microsoft.com/office/drawing/2014/main" id="{965AA7CF-973F-4C68-909A-CD53A2116832}"/>
            </a:ext>
          </a:extLst>
        </xdr:cNvPr>
        <xdr:cNvSpPr txBox="1"/>
      </xdr:nvSpPr>
      <xdr:spPr>
        <a:xfrm>
          <a:off x="427648" y="4775498"/>
          <a:ext cx="1652005" cy="397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chemeClr val="tx1">
                  <a:lumMod val="65000"/>
                  <a:lumOff val="35000"/>
                </a:schemeClr>
              </a:solidFill>
            </a:rPr>
            <a:t>Analytical Success Rate</a:t>
          </a:r>
        </a:p>
      </xdr:txBody>
    </xdr:sp>
    <xdr:clientData/>
  </xdr:twoCellAnchor>
  <xdr:twoCellAnchor>
    <xdr:from>
      <xdr:col>0</xdr:col>
      <xdr:colOff>200164</xdr:colOff>
      <xdr:row>16</xdr:row>
      <xdr:rowOff>72894</xdr:rowOff>
    </xdr:from>
    <xdr:to>
      <xdr:col>2</xdr:col>
      <xdr:colOff>603849</xdr:colOff>
      <xdr:row>16</xdr:row>
      <xdr:rowOff>343050</xdr:rowOff>
    </xdr:to>
    <xdr:sp macro="" textlink="Pivots!G8">
      <xdr:nvSpPr>
        <xdr:cNvPr id="19" name="TextBox 18">
          <a:extLst>
            <a:ext uri="{FF2B5EF4-FFF2-40B4-BE49-F238E27FC236}">
              <a16:creationId xmlns:a16="http://schemas.microsoft.com/office/drawing/2014/main" id="{FCEB3DC9-5067-4FE6-90EC-B4BEBAC017AB}"/>
            </a:ext>
          </a:extLst>
        </xdr:cNvPr>
        <xdr:cNvSpPr txBox="1"/>
      </xdr:nvSpPr>
      <xdr:spPr>
        <a:xfrm>
          <a:off x="200164" y="5311644"/>
          <a:ext cx="1841960" cy="270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C28C585-11CD-48B1-B727-D687866A68BD}" type="TxLink">
            <a:rPr lang="en-US" sz="1050" b="1" i="0" u="none" strike="noStrike">
              <a:solidFill>
                <a:schemeClr val="tx1">
                  <a:lumMod val="65000"/>
                  <a:lumOff val="35000"/>
                </a:schemeClr>
              </a:solidFill>
              <a:latin typeface="Calibri"/>
              <a:ea typeface="Calibri"/>
              <a:cs typeface="Calibri"/>
            </a:rPr>
            <a:pPr marL="0" indent="0" algn="ctr"/>
            <a:t>94.13%</a:t>
          </a:fld>
          <a:endParaRPr lang="en-US" sz="1050" b="1" i="0" u="none" strike="noStrike">
            <a:solidFill>
              <a:schemeClr val="tx1">
                <a:lumMod val="65000"/>
                <a:lumOff val="35000"/>
              </a:schemeClr>
            </a:solidFill>
            <a:latin typeface="Calibri"/>
            <a:ea typeface="Calibri"/>
            <a:cs typeface="Calibri"/>
          </a:endParaRPr>
        </a:p>
      </xdr:txBody>
    </xdr:sp>
    <xdr:clientData/>
  </xdr:twoCellAnchor>
  <xdr:twoCellAnchor>
    <xdr:from>
      <xdr:col>0</xdr:col>
      <xdr:colOff>200155</xdr:colOff>
      <xdr:row>17</xdr:row>
      <xdr:rowOff>134673</xdr:rowOff>
    </xdr:from>
    <xdr:to>
      <xdr:col>2</xdr:col>
      <xdr:colOff>592943</xdr:colOff>
      <xdr:row>19</xdr:row>
      <xdr:rowOff>298937</xdr:rowOff>
    </xdr:to>
    <xdr:sp macro="" textlink="Pivots!I4">
      <xdr:nvSpPr>
        <xdr:cNvPr id="20" name="Rectangle 19">
          <a:extLst>
            <a:ext uri="{FF2B5EF4-FFF2-40B4-BE49-F238E27FC236}">
              <a16:creationId xmlns:a16="http://schemas.microsoft.com/office/drawing/2014/main" id="{189437BC-4D23-4C84-8A9C-AF41E7739E55}"/>
            </a:ext>
          </a:extLst>
        </xdr:cNvPr>
        <xdr:cNvSpPr/>
      </xdr:nvSpPr>
      <xdr:spPr>
        <a:xfrm>
          <a:off x="200155" y="5735373"/>
          <a:ext cx="1831063" cy="888164"/>
        </a:xfrm>
        <a:prstGeom prst="rect">
          <a:avLst/>
        </a:prstGeom>
        <a:solidFill>
          <a:srgbClr val="DBEAFE"/>
        </a:solidFill>
        <a:ln w="6350">
          <a:solidFill>
            <a:schemeClr val="tx1">
              <a:lumMod val="50000"/>
              <a:lumOff val="50000"/>
            </a:schemeClr>
          </a:solidFill>
        </a:ln>
        <a:effectLst>
          <a:outerShdw blurRad="127000" dist="25400" dir="2700000" sx="40000" sy="4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55A3989-D9D4-4C54-8ACD-35022D42569F}" type="TxLink">
            <a:rPr lang="en-US" sz="2000" b="1" i="0" u="none" strike="noStrike">
              <a:solidFill>
                <a:schemeClr val="tx1">
                  <a:lumMod val="65000"/>
                  <a:lumOff val="35000"/>
                </a:schemeClr>
              </a:solidFill>
              <a:latin typeface="Calibri"/>
              <a:ea typeface="Calibri"/>
              <a:cs typeface="Calibri"/>
            </a:rPr>
            <a:pPr marL="0" indent="0" algn="ctr"/>
            <a:t>7.90%</a:t>
          </a:fld>
          <a:endParaRPr lang="en-US" sz="2000" b="1" i="0" u="none" strike="noStrike">
            <a:solidFill>
              <a:schemeClr val="tx1">
                <a:lumMod val="65000"/>
                <a:lumOff val="35000"/>
              </a:schemeClr>
            </a:solidFill>
            <a:latin typeface="Calibri"/>
            <a:ea typeface="Calibri"/>
            <a:cs typeface="Calibri"/>
          </a:endParaRPr>
        </a:p>
      </xdr:txBody>
    </xdr:sp>
    <xdr:clientData/>
  </xdr:twoCellAnchor>
  <xdr:twoCellAnchor>
    <xdr:from>
      <xdr:col>0</xdr:col>
      <xdr:colOff>395417</xdr:colOff>
      <xdr:row>17</xdr:row>
      <xdr:rowOff>189202</xdr:rowOff>
    </xdr:from>
    <xdr:to>
      <xdr:col>2</xdr:col>
      <xdr:colOff>606002</xdr:colOff>
      <xdr:row>18</xdr:row>
      <xdr:rowOff>145321</xdr:rowOff>
    </xdr:to>
    <xdr:sp macro="" textlink="">
      <xdr:nvSpPr>
        <xdr:cNvPr id="21" name="TextBox 20">
          <a:extLst>
            <a:ext uri="{FF2B5EF4-FFF2-40B4-BE49-F238E27FC236}">
              <a16:creationId xmlns:a16="http://schemas.microsoft.com/office/drawing/2014/main" id="{598B6126-D250-4512-A6E6-448D3F18D8D1}"/>
            </a:ext>
          </a:extLst>
        </xdr:cNvPr>
        <xdr:cNvSpPr txBox="1"/>
      </xdr:nvSpPr>
      <xdr:spPr>
        <a:xfrm>
          <a:off x="395417" y="5789902"/>
          <a:ext cx="1648860" cy="318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1">
                  <a:lumMod val="65000"/>
                  <a:lumOff val="35000"/>
                </a:schemeClr>
              </a:solidFill>
            </a:rPr>
            <a:t>Analytical</a:t>
          </a:r>
          <a:r>
            <a:rPr lang="en-US" sz="1100" b="1" baseline="0">
              <a:solidFill>
                <a:schemeClr val="tx1">
                  <a:lumMod val="65000"/>
                  <a:lumOff val="35000"/>
                </a:schemeClr>
              </a:solidFill>
            </a:rPr>
            <a:t> Failure Rate</a:t>
          </a:r>
          <a:endParaRPr lang="en-US" sz="1100" b="1">
            <a:solidFill>
              <a:schemeClr val="tx1">
                <a:lumMod val="65000"/>
                <a:lumOff val="35000"/>
              </a:schemeClr>
            </a:solidFill>
          </a:endParaRPr>
        </a:p>
      </xdr:txBody>
    </xdr:sp>
    <xdr:clientData/>
  </xdr:twoCellAnchor>
  <xdr:twoCellAnchor>
    <xdr:from>
      <xdr:col>0</xdr:col>
      <xdr:colOff>200156</xdr:colOff>
      <xdr:row>19</xdr:row>
      <xdr:rowOff>6212</xdr:rowOff>
    </xdr:from>
    <xdr:to>
      <xdr:col>2</xdr:col>
      <xdr:colOff>601829</xdr:colOff>
      <xdr:row>19</xdr:row>
      <xdr:rowOff>277024</xdr:rowOff>
    </xdr:to>
    <xdr:sp macro="" textlink="Pivots!I8">
      <xdr:nvSpPr>
        <xdr:cNvPr id="23" name="TextBox 22">
          <a:extLst>
            <a:ext uri="{FF2B5EF4-FFF2-40B4-BE49-F238E27FC236}">
              <a16:creationId xmlns:a16="http://schemas.microsoft.com/office/drawing/2014/main" id="{52087853-B39C-42D1-AB02-8D883FE071C0}"/>
            </a:ext>
          </a:extLst>
        </xdr:cNvPr>
        <xdr:cNvSpPr txBox="1"/>
      </xdr:nvSpPr>
      <xdr:spPr>
        <a:xfrm>
          <a:off x="200156" y="6330812"/>
          <a:ext cx="1839948" cy="270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8A5CE04-4646-4BB1-B48D-3179AF4CE13F}" type="TxLink">
            <a:rPr lang="en-US" sz="1050" b="1" i="0" u="none" strike="noStrike">
              <a:solidFill>
                <a:schemeClr val="tx1">
                  <a:lumMod val="65000"/>
                  <a:lumOff val="35000"/>
                </a:schemeClr>
              </a:solidFill>
              <a:latin typeface="Calibri"/>
              <a:ea typeface="Calibri"/>
              <a:cs typeface="Calibri"/>
            </a:rPr>
            <a:pPr marL="0" indent="0" algn="ctr"/>
            <a:t>5.87%</a:t>
          </a:fld>
          <a:endParaRPr lang="en-US" sz="1050" b="1" i="0" u="none" strike="noStrike">
            <a:solidFill>
              <a:schemeClr val="tx1">
                <a:lumMod val="65000"/>
                <a:lumOff val="35000"/>
              </a:schemeClr>
            </a:solidFill>
            <a:latin typeface="Calibri"/>
            <a:ea typeface="Calibri"/>
            <a:cs typeface="Calibri"/>
          </a:endParaRPr>
        </a:p>
      </xdr:txBody>
    </xdr:sp>
    <xdr:clientData/>
  </xdr:twoCellAnchor>
  <xdr:twoCellAnchor editAs="oneCell">
    <xdr:from>
      <xdr:col>0</xdr:col>
      <xdr:colOff>223964</xdr:colOff>
      <xdr:row>17</xdr:row>
      <xdr:rowOff>175780</xdr:rowOff>
    </xdr:from>
    <xdr:to>
      <xdr:col>0</xdr:col>
      <xdr:colOff>448283</xdr:colOff>
      <xdr:row>18</xdr:row>
      <xdr:rowOff>38820</xdr:rowOff>
    </xdr:to>
    <xdr:pic>
      <xdr:nvPicPr>
        <xdr:cNvPr id="33" name="Graphic 32" descr="Research with solid fill">
          <a:extLst>
            <a:ext uri="{FF2B5EF4-FFF2-40B4-BE49-F238E27FC236}">
              <a16:creationId xmlns:a16="http://schemas.microsoft.com/office/drawing/2014/main" id="{A4FA70AB-76D8-5753-70D9-0AF68BC019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3964" y="5776480"/>
          <a:ext cx="224319" cy="224990"/>
        </a:xfrm>
        <a:prstGeom prst="rect">
          <a:avLst/>
        </a:prstGeom>
      </xdr:spPr>
    </xdr:pic>
    <xdr:clientData/>
  </xdr:twoCellAnchor>
  <xdr:twoCellAnchor>
    <xdr:from>
      <xdr:col>11</xdr:col>
      <xdr:colOff>66160</xdr:colOff>
      <xdr:row>12</xdr:row>
      <xdr:rowOff>261935</xdr:rowOff>
    </xdr:from>
    <xdr:to>
      <xdr:col>21</xdr:col>
      <xdr:colOff>590550</xdr:colOff>
      <xdr:row>19</xdr:row>
      <xdr:rowOff>304796</xdr:rowOff>
    </xdr:to>
    <xdr:graphicFrame macro="">
      <xdr:nvGraphicFramePr>
        <xdr:cNvPr id="22" name="Chart 21">
          <a:extLst>
            <a:ext uri="{FF2B5EF4-FFF2-40B4-BE49-F238E27FC236}">
              <a16:creationId xmlns:a16="http://schemas.microsoft.com/office/drawing/2014/main" id="{9330D372-7A7A-451F-9A36-EE3924203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232054</xdr:colOff>
      <xdr:row>14</xdr:row>
      <xdr:rowOff>223666</xdr:rowOff>
    </xdr:from>
    <xdr:to>
      <xdr:col>0</xdr:col>
      <xdr:colOff>437244</xdr:colOff>
      <xdr:row>15</xdr:row>
      <xdr:rowOff>71087</xdr:rowOff>
    </xdr:to>
    <xdr:pic>
      <xdr:nvPicPr>
        <xdr:cNvPr id="32" name="Graphic 31" descr="Checklist with solid fill">
          <a:extLst>
            <a:ext uri="{FF2B5EF4-FFF2-40B4-BE49-F238E27FC236}">
              <a16:creationId xmlns:a16="http://schemas.microsoft.com/office/drawing/2014/main" id="{8CBAE317-D1E7-451B-B561-11B7ECBB602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2054" y="4738516"/>
          <a:ext cx="205190" cy="209371"/>
        </a:xfrm>
        <a:prstGeom prst="rect">
          <a:avLst/>
        </a:prstGeom>
      </xdr:spPr>
    </xdr:pic>
    <xdr:clientData/>
  </xdr:twoCellAnchor>
  <xdr:twoCellAnchor>
    <xdr:from>
      <xdr:col>24</xdr:col>
      <xdr:colOff>374280</xdr:colOff>
      <xdr:row>13</xdr:row>
      <xdr:rowOff>347209</xdr:rowOff>
    </xdr:from>
    <xdr:to>
      <xdr:col>24</xdr:col>
      <xdr:colOff>374280</xdr:colOff>
      <xdr:row>15</xdr:row>
      <xdr:rowOff>69145</xdr:rowOff>
    </xdr:to>
    <xdr:cxnSp macro="">
      <xdr:nvCxnSpPr>
        <xdr:cNvPr id="119" name="Straight Connector 118">
          <a:extLst>
            <a:ext uri="{FF2B5EF4-FFF2-40B4-BE49-F238E27FC236}">
              <a16:creationId xmlns:a16="http://schemas.microsoft.com/office/drawing/2014/main" id="{51AADC49-4E83-4B82-A93B-A353DC8AB237}"/>
            </a:ext>
          </a:extLst>
        </xdr:cNvPr>
        <xdr:cNvCxnSpPr/>
      </xdr:nvCxnSpPr>
      <xdr:spPr>
        <a:xfrm>
          <a:off x="14461755" y="4552497"/>
          <a:ext cx="0" cy="445836"/>
        </a:xfrm>
        <a:prstGeom prst="line">
          <a:avLst/>
        </a:prstGeom>
        <a:ln>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73159</xdr:colOff>
      <xdr:row>1</xdr:row>
      <xdr:rowOff>29169</xdr:rowOff>
    </xdr:from>
    <xdr:to>
      <xdr:col>18</xdr:col>
      <xdr:colOff>300581</xdr:colOff>
      <xdr:row>2</xdr:row>
      <xdr:rowOff>32268</xdr:rowOff>
    </xdr:to>
    <xdr:pic>
      <xdr:nvPicPr>
        <xdr:cNvPr id="126" name="Graphic 125" descr="Upward trend with solid fill">
          <a:extLst>
            <a:ext uri="{FF2B5EF4-FFF2-40B4-BE49-F238E27FC236}">
              <a16:creationId xmlns:a16="http://schemas.microsoft.com/office/drawing/2014/main" id="{9525131F-D1A8-6581-D3EF-02224A1E13A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531609" y="338732"/>
          <a:ext cx="227422" cy="222174"/>
        </a:xfrm>
        <a:prstGeom prst="rect">
          <a:avLst/>
        </a:prstGeom>
      </xdr:spPr>
    </xdr:pic>
    <xdr:clientData/>
  </xdr:twoCellAnchor>
  <xdr:twoCellAnchor>
    <xdr:from>
      <xdr:col>0</xdr:col>
      <xdr:colOff>181109</xdr:colOff>
      <xdr:row>11</xdr:row>
      <xdr:rowOff>282315</xdr:rowOff>
    </xdr:from>
    <xdr:to>
      <xdr:col>2</xdr:col>
      <xdr:colOff>574992</xdr:colOff>
      <xdr:row>14</xdr:row>
      <xdr:rowOff>84629</xdr:rowOff>
    </xdr:to>
    <xdr:sp macro="" textlink="Pivots!K4">
      <xdr:nvSpPr>
        <xdr:cNvPr id="153" name="Rectangle 152">
          <a:extLst>
            <a:ext uri="{FF2B5EF4-FFF2-40B4-BE49-F238E27FC236}">
              <a16:creationId xmlns:a16="http://schemas.microsoft.com/office/drawing/2014/main" id="{5D76FCC1-380B-4923-BD2B-F64F2D4B1E00}"/>
            </a:ext>
          </a:extLst>
        </xdr:cNvPr>
        <xdr:cNvSpPr/>
      </xdr:nvSpPr>
      <xdr:spPr>
        <a:xfrm>
          <a:off x="181109" y="3711315"/>
          <a:ext cx="1832158" cy="888164"/>
        </a:xfrm>
        <a:prstGeom prst="rect">
          <a:avLst/>
        </a:prstGeom>
        <a:solidFill>
          <a:srgbClr val="DBEAFE"/>
        </a:solidFill>
        <a:ln w="6350">
          <a:solidFill>
            <a:schemeClr val="tx1">
              <a:lumMod val="50000"/>
              <a:lumOff val="50000"/>
            </a:schemeClr>
          </a:solidFill>
        </a:ln>
        <a:effectLst>
          <a:outerShdw blurRad="127000" dist="25400" dir="2700000" sx="40000" sy="4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9033AFF-AE95-44AB-BE8A-CCCB859AE2D0}" type="TxLink">
            <a:rPr lang="en-US" sz="2000" b="1" i="0" u="none" strike="noStrike">
              <a:solidFill>
                <a:schemeClr val="tx1">
                  <a:lumMod val="65000"/>
                  <a:lumOff val="35000"/>
                </a:schemeClr>
              </a:solidFill>
              <a:latin typeface="Calibri"/>
              <a:ea typeface="Calibri"/>
              <a:cs typeface="Calibri"/>
            </a:rPr>
            <a:pPr marL="0" indent="0" algn="ctr"/>
            <a:t>36.91</a:t>
          </a:fld>
          <a:endParaRPr lang="en-US" sz="2000" b="1" i="0" u="none" strike="noStrike">
            <a:solidFill>
              <a:schemeClr val="tx1">
                <a:lumMod val="65000"/>
                <a:lumOff val="35000"/>
              </a:schemeClr>
            </a:solidFill>
            <a:latin typeface="Calibri"/>
            <a:ea typeface="Calibri"/>
            <a:cs typeface="Calibri"/>
          </a:endParaRPr>
        </a:p>
      </xdr:txBody>
    </xdr:sp>
    <xdr:clientData/>
  </xdr:twoCellAnchor>
  <xdr:twoCellAnchor>
    <xdr:from>
      <xdr:col>0</xdr:col>
      <xdr:colOff>335889</xdr:colOff>
      <xdr:row>12</xdr:row>
      <xdr:rowOff>46335</xdr:rowOff>
    </xdr:from>
    <xdr:to>
      <xdr:col>2</xdr:col>
      <xdr:colOff>652590</xdr:colOff>
      <xdr:row>13</xdr:row>
      <xdr:rowOff>30670</xdr:rowOff>
    </xdr:to>
    <xdr:sp macro="" textlink="">
      <xdr:nvSpPr>
        <xdr:cNvPr id="154" name="TextBox 153">
          <a:extLst>
            <a:ext uri="{FF2B5EF4-FFF2-40B4-BE49-F238E27FC236}">
              <a16:creationId xmlns:a16="http://schemas.microsoft.com/office/drawing/2014/main" id="{8A419164-0F49-4A6B-A18C-C615AB19A60A}"/>
            </a:ext>
          </a:extLst>
        </xdr:cNvPr>
        <xdr:cNvSpPr txBox="1"/>
      </xdr:nvSpPr>
      <xdr:spPr>
        <a:xfrm>
          <a:off x="335889" y="3837285"/>
          <a:ext cx="1754976" cy="346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1">
                  <a:lumMod val="65000"/>
                  <a:lumOff val="35000"/>
                </a:schemeClr>
              </a:solidFill>
            </a:rPr>
            <a:t>Avg</a:t>
          </a:r>
          <a:r>
            <a:rPr lang="en-US" sz="1100" b="1" baseline="0">
              <a:solidFill>
                <a:schemeClr val="tx1">
                  <a:lumMod val="65000"/>
                  <a:lumOff val="35000"/>
                </a:schemeClr>
              </a:solidFill>
            </a:rPr>
            <a:t> </a:t>
          </a:r>
          <a:r>
            <a:rPr lang="en-US" sz="1100" b="1">
              <a:solidFill>
                <a:schemeClr val="tx1">
                  <a:lumMod val="65000"/>
                  <a:lumOff val="35000"/>
                </a:schemeClr>
              </a:solidFill>
            </a:rPr>
            <a:t>Processing Time (Min)</a:t>
          </a:r>
        </a:p>
      </xdr:txBody>
    </xdr:sp>
    <xdr:clientData/>
  </xdr:twoCellAnchor>
  <xdr:twoCellAnchor>
    <xdr:from>
      <xdr:col>0</xdr:col>
      <xdr:colOff>181111</xdr:colOff>
      <xdr:row>13</xdr:row>
      <xdr:rowOff>153986</xdr:rowOff>
    </xdr:from>
    <xdr:to>
      <xdr:col>2</xdr:col>
      <xdr:colOff>584797</xdr:colOff>
      <xdr:row>14</xdr:row>
      <xdr:rowOff>62709</xdr:rowOff>
    </xdr:to>
    <xdr:sp macro="" textlink="Pivots!K8">
      <xdr:nvSpPr>
        <xdr:cNvPr id="155" name="TextBox 154">
          <a:extLst>
            <a:ext uri="{FF2B5EF4-FFF2-40B4-BE49-F238E27FC236}">
              <a16:creationId xmlns:a16="http://schemas.microsoft.com/office/drawing/2014/main" id="{A427A32F-CB7E-413C-91D5-2AEDD8E4C618}"/>
            </a:ext>
          </a:extLst>
        </xdr:cNvPr>
        <xdr:cNvSpPr txBox="1"/>
      </xdr:nvSpPr>
      <xdr:spPr>
        <a:xfrm>
          <a:off x="181111" y="4306886"/>
          <a:ext cx="1841961" cy="27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0FDAC4-3FF8-4460-8A13-E91AB3A5A64A}" type="TxLink">
            <a:rPr lang="en-US" sz="1050" b="1" i="0" u="none" strike="noStrike">
              <a:solidFill>
                <a:schemeClr val="tx1">
                  <a:lumMod val="65000"/>
                  <a:lumOff val="35000"/>
                </a:schemeClr>
              </a:solidFill>
              <a:latin typeface="Calibri"/>
              <a:ea typeface="Calibri"/>
              <a:cs typeface="Calibri"/>
            </a:rPr>
            <a:pPr marL="0" indent="0" algn="ctr"/>
            <a:t>17.12</a:t>
          </a:fld>
          <a:endParaRPr lang="en-US" sz="1050" b="1" i="0" u="none" strike="noStrike">
            <a:solidFill>
              <a:schemeClr val="tx1">
                <a:lumMod val="65000"/>
                <a:lumOff val="35000"/>
              </a:schemeClr>
            </a:solidFill>
            <a:latin typeface="Calibri"/>
            <a:ea typeface="Calibri"/>
            <a:cs typeface="Calibri"/>
          </a:endParaRPr>
        </a:p>
      </xdr:txBody>
    </xdr:sp>
    <xdr:clientData/>
  </xdr:twoCellAnchor>
  <xdr:twoCellAnchor editAs="oneCell">
    <xdr:from>
      <xdr:col>0</xdr:col>
      <xdr:colOff>182613</xdr:colOff>
      <xdr:row>11</xdr:row>
      <xdr:rowOff>301366</xdr:rowOff>
    </xdr:from>
    <xdr:to>
      <xdr:col>0</xdr:col>
      <xdr:colOff>377558</xdr:colOff>
      <xdr:row>12</xdr:row>
      <xdr:rowOff>137768</xdr:rowOff>
    </xdr:to>
    <xdr:pic>
      <xdr:nvPicPr>
        <xdr:cNvPr id="156" name="Graphic 155" descr="Hourglass Finished with solid fill">
          <a:extLst>
            <a:ext uri="{FF2B5EF4-FFF2-40B4-BE49-F238E27FC236}">
              <a16:creationId xmlns:a16="http://schemas.microsoft.com/office/drawing/2014/main" id="{475A621C-5831-43E1-B48D-4BE9D3E9159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82613" y="3730366"/>
          <a:ext cx="194945" cy="198352"/>
        </a:xfrm>
        <a:prstGeom prst="rect">
          <a:avLst/>
        </a:prstGeom>
      </xdr:spPr>
    </xdr:pic>
    <xdr:clientData/>
  </xdr:twoCellAnchor>
  <xdr:twoCellAnchor>
    <xdr:from>
      <xdr:col>3</xdr:col>
      <xdr:colOff>17859</xdr:colOff>
      <xdr:row>2</xdr:row>
      <xdr:rowOff>90835</xdr:rowOff>
    </xdr:from>
    <xdr:to>
      <xdr:col>7</xdr:col>
      <xdr:colOff>1189</xdr:colOff>
      <xdr:row>3</xdr:row>
      <xdr:rowOff>123825</xdr:rowOff>
    </xdr:to>
    <xdr:sp macro="" textlink="">
      <xdr:nvSpPr>
        <xdr:cNvPr id="157" name="TextBox 156">
          <a:extLst>
            <a:ext uri="{FF2B5EF4-FFF2-40B4-BE49-F238E27FC236}">
              <a16:creationId xmlns:a16="http://schemas.microsoft.com/office/drawing/2014/main" id="{FFB6BB0F-4A1D-4448-8F72-3569E0195A32}"/>
            </a:ext>
          </a:extLst>
        </xdr:cNvPr>
        <xdr:cNvSpPr txBox="1"/>
      </xdr:nvSpPr>
      <xdr:spPr>
        <a:xfrm>
          <a:off x="1456134" y="1043335"/>
          <a:ext cx="2574130" cy="261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a:solidFill>
                <a:schemeClr val="bg1"/>
              </a:solidFill>
            </a:rPr>
            <a:t>Valid Results Missing from EHR</a:t>
          </a:r>
          <a:endParaRPr lang="en-US" sz="1200" b="1">
            <a:solidFill>
              <a:schemeClr val="bg1"/>
            </a:solidFill>
            <a:latin typeface="+mn-lt"/>
            <a:ea typeface="+mn-ea"/>
            <a:cs typeface="+mn-cs"/>
          </a:endParaRPr>
        </a:p>
      </xdr:txBody>
    </xdr:sp>
    <xdr:clientData/>
  </xdr:twoCellAnchor>
  <xdr:twoCellAnchor>
    <xdr:from>
      <xdr:col>8</xdr:col>
      <xdr:colOff>17859</xdr:colOff>
      <xdr:row>2</xdr:row>
      <xdr:rowOff>84884</xdr:rowOff>
    </xdr:from>
    <xdr:to>
      <xdr:col>12</xdr:col>
      <xdr:colOff>1189</xdr:colOff>
      <xdr:row>3</xdr:row>
      <xdr:rowOff>157163</xdr:rowOff>
    </xdr:to>
    <xdr:sp macro="" textlink="">
      <xdr:nvSpPr>
        <xdr:cNvPr id="158" name="TextBox 157">
          <a:extLst>
            <a:ext uri="{FF2B5EF4-FFF2-40B4-BE49-F238E27FC236}">
              <a16:creationId xmlns:a16="http://schemas.microsoft.com/office/drawing/2014/main" id="{56EC488B-AE26-4709-8B00-28952482976A}"/>
            </a:ext>
          </a:extLst>
        </xdr:cNvPr>
        <xdr:cNvSpPr txBox="1"/>
      </xdr:nvSpPr>
      <xdr:spPr>
        <a:xfrm>
          <a:off x="4461272" y="1037384"/>
          <a:ext cx="2574130" cy="300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a:solidFill>
                <a:schemeClr val="bg1"/>
              </a:solidFill>
            </a:rPr>
            <a:t>Invalid Results Delivered</a:t>
          </a:r>
          <a:r>
            <a:rPr lang="en-US" sz="1200" b="1" baseline="0">
              <a:solidFill>
                <a:schemeClr val="bg1"/>
              </a:solidFill>
            </a:rPr>
            <a:t> to</a:t>
          </a:r>
          <a:r>
            <a:rPr lang="en-US" sz="1200" b="1">
              <a:solidFill>
                <a:schemeClr val="bg1"/>
              </a:solidFill>
            </a:rPr>
            <a:t> EHR</a:t>
          </a:r>
          <a:endParaRPr lang="en-US" sz="1200" b="1">
            <a:solidFill>
              <a:schemeClr val="bg1"/>
            </a:solidFill>
            <a:latin typeface="+mn-lt"/>
            <a:ea typeface="+mn-ea"/>
            <a:cs typeface="+mn-cs"/>
          </a:endParaRPr>
        </a:p>
      </xdr:txBody>
    </xdr:sp>
    <xdr:clientData/>
  </xdr:twoCellAnchor>
  <xdr:twoCellAnchor>
    <xdr:from>
      <xdr:col>13</xdr:col>
      <xdr:colOff>17859</xdr:colOff>
      <xdr:row>2</xdr:row>
      <xdr:rowOff>96787</xdr:rowOff>
    </xdr:from>
    <xdr:to>
      <xdr:col>17</xdr:col>
      <xdr:colOff>1189</xdr:colOff>
      <xdr:row>3</xdr:row>
      <xdr:rowOff>147638</xdr:rowOff>
    </xdr:to>
    <xdr:sp macro="" textlink="">
      <xdr:nvSpPr>
        <xdr:cNvPr id="159" name="TextBox 158">
          <a:extLst>
            <a:ext uri="{FF2B5EF4-FFF2-40B4-BE49-F238E27FC236}">
              <a16:creationId xmlns:a16="http://schemas.microsoft.com/office/drawing/2014/main" id="{B4630993-C64C-4C3D-BC82-FFC73BC7FDEC}"/>
            </a:ext>
          </a:extLst>
        </xdr:cNvPr>
        <xdr:cNvSpPr txBox="1"/>
      </xdr:nvSpPr>
      <xdr:spPr>
        <a:xfrm>
          <a:off x="7466409" y="1049287"/>
          <a:ext cx="2574130" cy="27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a:solidFill>
                <a:schemeClr val="bg1"/>
              </a:solidFill>
              <a:latin typeface="+mn-lt"/>
              <a:ea typeface="+mn-ea"/>
              <a:cs typeface="+mn-cs"/>
            </a:rPr>
            <a:t>Valid Runs Over Latency SLA </a:t>
          </a:r>
        </a:p>
      </xdr:txBody>
    </xdr:sp>
    <xdr:clientData/>
  </xdr:twoCellAnchor>
  <xdr:twoCellAnchor>
    <xdr:from>
      <xdr:col>18</xdr:col>
      <xdr:colOff>17859</xdr:colOff>
      <xdr:row>2</xdr:row>
      <xdr:rowOff>102742</xdr:rowOff>
    </xdr:from>
    <xdr:to>
      <xdr:col>22</xdr:col>
      <xdr:colOff>1189</xdr:colOff>
      <xdr:row>3</xdr:row>
      <xdr:rowOff>157163</xdr:rowOff>
    </xdr:to>
    <xdr:sp macro="" textlink="">
      <xdr:nvSpPr>
        <xdr:cNvPr id="160" name="TextBox 159">
          <a:extLst>
            <a:ext uri="{FF2B5EF4-FFF2-40B4-BE49-F238E27FC236}">
              <a16:creationId xmlns:a16="http://schemas.microsoft.com/office/drawing/2014/main" id="{4604EA32-C68C-4820-B14C-864D1FFED66B}"/>
            </a:ext>
          </a:extLst>
        </xdr:cNvPr>
        <xdr:cNvSpPr txBox="1"/>
      </xdr:nvSpPr>
      <xdr:spPr>
        <a:xfrm>
          <a:off x="10471547" y="1055242"/>
          <a:ext cx="2574130" cy="283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a:solidFill>
                <a:schemeClr val="bg1"/>
              </a:solidFill>
              <a:latin typeface="+mn-lt"/>
              <a:ea typeface="+mn-ea"/>
              <a:cs typeface="+mn-cs"/>
            </a:rPr>
            <a:t>Invalid Runs Over Latency SLA </a:t>
          </a:r>
        </a:p>
      </xdr:txBody>
    </xdr:sp>
    <xdr:clientData/>
  </xdr:twoCellAnchor>
  <xdr:twoCellAnchor>
    <xdr:from>
      <xdr:col>2</xdr:col>
      <xdr:colOff>728343</xdr:colOff>
      <xdr:row>5</xdr:row>
      <xdr:rowOff>152399</xdr:rowOff>
    </xdr:from>
    <xdr:to>
      <xdr:col>8</xdr:col>
      <xdr:colOff>427223</xdr:colOff>
      <xdr:row>12</xdr:row>
      <xdr:rowOff>180082</xdr:rowOff>
    </xdr:to>
    <xdr:graphicFrame macro="">
      <xdr:nvGraphicFramePr>
        <xdr:cNvPr id="3" name="Chart 2">
          <a:extLst>
            <a:ext uri="{FF2B5EF4-FFF2-40B4-BE49-F238E27FC236}">
              <a16:creationId xmlns:a16="http://schemas.microsoft.com/office/drawing/2014/main" id="{09240254-5A44-4B91-8A46-A97A84A5A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474660</xdr:colOff>
      <xdr:row>5</xdr:row>
      <xdr:rowOff>169942</xdr:rowOff>
    </xdr:from>
    <xdr:to>
      <xdr:col>14</xdr:col>
      <xdr:colOff>350184</xdr:colOff>
      <xdr:row>12</xdr:row>
      <xdr:rowOff>188528</xdr:rowOff>
    </xdr:to>
    <xdr:graphicFrame macro="">
      <xdr:nvGraphicFramePr>
        <xdr:cNvPr id="8" name="Chart 7">
          <a:extLst>
            <a:ext uri="{FF2B5EF4-FFF2-40B4-BE49-F238E27FC236}">
              <a16:creationId xmlns:a16="http://schemas.microsoft.com/office/drawing/2014/main" id="{90F1BBC8-0248-4D26-BF4C-E5FEAB518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455239</xdr:colOff>
      <xdr:row>5</xdr:row>
      <xdr:rowOff>177685</xdr:rowOff>
    </xdr:from>
    <xdr:to>
      <xdr:col>21</xdr:col>
      <xdr:colOff>592901</xdr:colOff>
      <xdr:row>12</xdr:row>
      <xdr:rowOff>171450</xdr:rowOff>
    </xdr:to>
    <xdr:graphicFrame macro="">
      <xdr:nvGraphicFramePr>
        <xdr:cNvPr id="27" name="Chart 26">
          <a:extLst>
            <a:ext uri="{FF2B5EF4-FFF2-40B4-BE49-F238E27FC236}">
              <a16:creationId xmlns:a16="http://schemas.microsoft.com/office/drawing/2014/main" id="{CEEDCD5C-801A-4279-907A-30F4B235C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10201</xdr:colOff>
      <xdr:row>5</xdr:row>
      <xdr:rowOff>182562</xdr:rowOff>
    </xdr:from>
    <xdr:to>
      <xdr:col>8</xdr:col>
      <xdr:colOff>300037</xdr:colOff>
      <xdr:row>6</xdr:row>
      <xdr:rowOff>131537</xdr:rowOff>
    </xdr:to>
    <xdr:sp macro="" textlink="">
      <xdr:nvSpPr>
        <xdr:cNvPr id="34" name="TextBox 33">
          <a:extLst>
            <a:ext uri="{FF2B5EF4-FFF2-40B4-BE49-F238E27FC236}">
              <a16:creationId xmlns:a16="http://schemas.microsoft.com/office/drawing/2014/main" id="{CEDE9E43-F4D3-631D-9147-BB3B60AEA8E9}"/>
            </a:ext>
          </a:extLst>
        </xdr:cNvPr>
        <xdr:cNvSpPr txBox="1"/>
      </xdr:nvSpPr>
      <xdr:spPr>
        <a:xfrm>
          <a:off x="2181901" y="1492250"/>
          <a:ext cx="3052086" cy="310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tx1">
                  <a:lumMod val="75000"/>
                  <a:lumOff val="25000"/>
                </a:schemeClr>
              </a:solidFill>
              <a:effectLst/>
              <a:latin typeface="+mn-lt"/>
              <a:ea typeface="+mn-ea"/>
              <a:cs typeface="+mn-cs"/>
            </a:rPr>
            <a:t>Avg. Processing Time vs. </a:t>
          </a:r>
          <a:r>
            <a:rPr lang="en-US" sz="1400" b="1" i="0" baseline="0">
              <a:solidFill>
                <a:srgbClr val="1D4ED8"/>
              </a:solidFill>
              <a:effectLst/>
              <a:latin typeface="+mn-lt"/>
              <a:ea typeface="+mn-ea"/>
              <a:cs typeface="+mn-cs"/>
            </a:rPr>
            <a:t>Target</a:t>
          </a:r>
          <a:endParaRPr lang="en-US" sz="1400" b="1">
            <a:solidFill>
              <a:srgbClr val="1D4ED8"/>
            </a:solidFill>
            <a:effectLst/>
          </a:endParaRPr>
        </a:p>
      </xdr:txBody>
    </xdr:sp>
    <xdr:clientData/>
  </xdr:twoCellAnchor>
  <xdr:twoCellAnchor>
    <xdr:from>
      <xdr:col>8</xdr:col>
      <xdr:colOff>533918</xdr:colOff>
      <xdr:row>5</xdr:row>
      <xdr:rowOff>178933</xdr:rowOff>
    </xdr:from>
    <xdr:to>
      <xdr:col>13</xdr:col>
      <xdr:colOff>504826</xdr:colOff>
      <xdr:row>6</xdr:row>
      <xdr:rowOff>94211</xdr:rowOff>
    </xdr:to>
    <xdr:sp macro="" textlink="">
      <xdr:nvSpPr>
        <xdr:cNvPr id="35" name="TextBox 34">
          <a:extLst>
            <a:ext uri="{FF2B5EF4-FFF2-40B4-BE49-F238E27FC236}">
              <a16:creationId xmlns:a16="http://schemas.microsoft.com/office/drawing/2014/main" id="{3C551BD1-57B0-41AC-82A6-2C35FFACC886}"/>
            </a:ext>
          </a:extLst>
        </xdr:cNvPr>
        <xdr:cNvSpPr txBox="1"/>
      </xdr:nvSpPr>
      <xdr:spPr>
        <a:xfrm>
          <a:off x="5467868" y="1488621"/>
          <a:ext cx="2733158" cy="2772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tx1">
                  <a:lumMod val="75000"/>
                  <a:lumOff val="25000"/>
                </a:schemeClr>
              </a:solidFill>
              <a:effectLst/>
              <a:latin typeface="+mn-lt"/>
              <a:ea typeface="+mn-ea"/>
              <a:cs typeface="+mn-cs"/>
            </a:rPr>
            <a:t>Latency Audit by Run Validity</a:t>
          </a:r>
        </a:p>
      </xdr:txBody>
    </xdr:sp>
    <xdr:clientData/>
  </xdr:twoCellAnchor>
  <xdr:twoCellAnchor>
    <xdr:from>
      <xdr:col>14</xdr:col>
      <xdr:colOff>471487</xdr:colOff>
      <xdr:row>5</xdr:row>
      <xdr:rowOff>188997</xdr:rowOff>
    </xdr:from>
    <xdr:to>
      <xdr:col>21</xdr:col>
      <xdr:colOff>576262</xdr:colOff>
      <xdr:row>6</xdr:row>
      <xdr:rowOff>106115</xdr:rowOff>
    </xdr:to>
    <xdr:sp macro="" textlink="">
      <xdr:nvSpPr>
        <xdr:cNvPr id="36" name="TextBox 35">
          <a:extLst>
            <a:ext uri="{FF2B5EF4-FFF2-40B4-BE49-F238E27FC236}">
              <a16:creationId xmlns:a16="http://schemas.microsoft.com/office/drawing/2014/main" id="{AA11477D-E646-4862-9790-D657BF30C8D2}"/>
            </a:ext>
          </a:extLst>
        </xdr:cNvPr>
        <xdr:cNvSpPr txBox="1"/>
      </xdr:nvSpPr>
      <xdr:spPr>
        <a:xfrm>
          <a:off x="8763000" y="1351047"/>
          <a:ext cx="4057650" cy="2790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1400" b="1" i="0" baseline="0">
              <a:solidFill>
                <a:srgbClr val="1D4ED8"/>
              </a:solidFill>
              <a:effectLst/>
              <a:latin typeface="+mn-lt"/>
              <a:ea typeface="+mn-ea"/>
              <a:cs typeface="+mn-cs"/>
            </a:rPr>
            <a:t>Daily Sample Volume Trend</a:t>
          </a:r>
          <a:r>
            <a:rPr lang="en-US" sz="1400" b="1" i="0" baseline="0">
              <a:solidFill>
                <a:schemeClr val="dk1"/>
              </a:solidFill>
              <a:effectLst/>
              <a:latin typeface="+mn-lt"/>
              <a:ea typeface="+mn-ea"/>
              <a:cs typeface="+mn-cs"/>
            </a:rPr>
            <a:t> vs. </a:t>
          </a:r>
          <a:r>
            <a:rPr lang="en-US" sz="1400" b="1" i="0" baseline="0">
              <a:solidFill>
                <a:schemeClr val="accent6">
                  <a:lumMod val="75000"/>
                </a:schemeClr>
              </a:solidFill>
              <a:effectLst/>
              <a:latin typeface="+mn-lt"/>
              <a:ea typeface="+mn-ea"/>
              <a:cs typeface="+mn-cs"/>
            </a:rPr>
            <a:t>Failure Rate</a:t>
          </a:r>
          <a:endParaRPr lang="en-US" sz="1400">
            <a:solidFill>
              <a:schemeClr val="accent6">
                <a:lumMod val="75000"/>
              </a:schemeClr>
            </a:solidFill>
            <a:effectLst/>
          </a:endParaRPr>
        </a:p>
      </xdr:txBody>
    </xdr:sp>
    <xdr:clientData/>
  </xdr:twoCellAnchor>
  <xdr:twoCellAnchor>
    <xdr:from>
      <xdr:col>3</xdr:col>
      <xdr:colOff>2241</xdr:colOff>
      <xdr:row>12</xdr:row>
      <xdr:rowOff>265576</xdr:rowOff>
    </xdr:from>
    <xdr:to>
      <xdr:col>10</xdr:col>
      <xdr:colOff>366432</xdr:colOff>
      <xdr:row>19</xdr:row>
      <xdr:rowOff>307874</xdr:rowOff>
    </xdr:to>
    <xdr:sp macro="" textlink="">
      <xdr:nvSpPr>
        <xdr:cNvPr id="50" name="Rectangle 49">
          <a:extLst>
            <a:ext uri="{FF2B5EF4-FFF2-40B4-BE49-F238E27FC236}">
              <a16:creationId xmlns:a16="http://schemas.microsoft.com/office/drawing/2014/main" id="{42F8638C-CC1E-4F87-BCB5-3D3D47CC256D}"/>
            </a:ext>
          </a:extLst>
        </xdr:cNvPr>
        <xdr:cNvSpPr/>
      </xdr:nvSpPr>
      <xdr:spPr>
        <a:xfrm>
          <a:off x="2173941" y="4056526"/>
          <a:ext cx="4317066" cy="2575948"/>
        </a:xfrm>
        <a:prstGeom prst="rect">
          <a:avLst/>
        </a:prstGeom>
        <a:solidFill>
          <a:sysClr val="window" lastClr="FFFFFF"/>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7622</xdr:colOff>
      <xdr:row>13</xdr:row>
      <xdr:rowOff>34402</xdr:rowOff>
    </xdr:from>
    <xdr:to>
      <xdr:col>10</xdr:col>
      <xdr:colOff>395288</xdr:colOff>
      <xdr:row>18</xdr:row>
      <xdr:rowOff>307191</xdr:rowOff>
    </xdr:to>
    <xdr:graphicFrame macro="">
      <xdr:nvGraphicFramePr>
        <xdr:cNvPr id="59" name="Chart 58">
          <a:extLst>
            <a:ext uri="{FF2B5EF4-FFF2-40B4-BE49-F238E27FC236}">
              <a16:creationId xmlns:a16="http://schemas.microsoft.com/office/drawing/2014/main" id="{99CFE145-7B96-4802-BACC-38F1C9534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275404</xdr:colOff>
      <xdr:row>18</xdr:row>
      <xdr:rowOff>206372</xdr:rowOff>
    </xdr:from>
    <xdr:to>
      <xdr:col>6</xdr:col>
      <xdr:colOff>211772</xdr:colOff>
      <xdr:row>19</xdr:row>
      <xdr:rowOff>230188</xdr:rowOff>
    </xdr:to>
    <xdr:sp macro="" textlink="Pivots!#REF!">
      <xdr:nvSpPr>
        <xdr:cNvPr id="62" name="Rectangle 61">
          <a:extLst>
            <a:ext uri="{FF2B5EF4-FFF2-40B4-BE49-F238E27FC236}">
              <a16:creationId xmlns:a16="http://schemas.microsoft.com/office/drawing/2014/main" id="{84FCBC87-F511-4446-97CD-4552EEA056E0}"/>
            </a:ext>
          </a:extLst>
        </xdr:cNvPr>
        <xdr:cNvSpPr/>
      </xdr:nvSpPr>
      <xdr:spPr>
        <a:xfrm>
          <a:off x="2447104" y="6097585"/>
          <a:ext cx="1722306" cy="385766"/>
        </a:xfrm>
        <a:prstGeom prst="rect">
          <a:avLst/>
        </a:prstGeom>
        <a:solidFill>
          <a:schemeClr val="accent4">
            <a:lumMod val="75000"/>
          </a:schemeClr>
        </a:solidFill>
        <a:ln>
          <a:noFill/>
        </a:ln>
        <a:effectLst>
          <a:outerShdw blurRad="127000" dist="254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6E5BEEAE-438E-44F1-BC69-95AA719D18C8}" type="TxLink">
            <a:rPr lang="en-US" sz="1200" b="1" i="0" u="none" strike="noStrike">
              <a:solidFill>
                <a:schemeClr val="bg1"/>
              </a:solidFill>
              <a:latin typeface="Calibri"/>
              <a:ea typeface="Calibri"/>
              <a:cs typeface="Calibri"/>
            </a:rPr>
            <a:pPr marL="0" indent="0" algn="ctr"/>
            <a:t>921</a:t>
          </a:fld>
          <a:endParaRPr lang="en-US" sz="1200" b="1" i="0" u="none" strike="noStrike">
            <a:solidFill>
              <a:schemeClr val="bg1"/>
            </a:solidFill>
            <a:latin typeface="Calibri"/>
            <a:ea typeface="Calibri"/>
            <a:cs typeface="Calibri"/>
          </a:endParaRPr>
        </a:p>
      </xdr:txBody>
    </xdr:sp>
    <xdr:clientData/>
  </xdr:twoCellAnchor>
  <xdr:twoCellAnchor>
    <xdr:from>
      <xdr:col>3</xdr:col>
      <xdr:colOff>267595</xdr:colOff>
      <xdr:row>18</xdr:row>
      <xdr:rowOff>181662</xdr:rowOff>
    </xdr:from>
    <xdr:to>
      <xdr:col>6</xdr:col>
      <xdr:colOff>190806</xdr:colOff>
      <xdr:row>19</xdr:row>
      <xdr:rowOff>16780</xdr:rowOff>
    </xdr:to>
    <xdr:sp macro="" textlink="">
      <xdr:nvSpPr>
        <xdr:cNvPr id="63" name="TextBox 62">
          <a:extLst>
            <a:ext uri="{FF2B5EF4-FFF2-40B4-BE49-F238E27FC236}">
              <a16:creationId xmlns:a16="http://schemas.microsoft.com/office/drawing/2014/main" id="{D88BF4A8-823D-4209-ACD1-D155CD3AC898}"/>
            </a:ext>
          </a:extLst>
        </xdr:cNvPr>
        <xdr:cNvSpPr txBox="1"/>
      </xdr:nvSpPr>
      <xdr:spPr>
        <a:xfrm>
          <a:off x="2439295" y="6072875"/>
          <a:ext cx="1709149" cy="197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50" b="1">
              <a:solidFill>
                <a:schemeClr val="bg1"/>
              </a:solidFill>
              <a:latin typeface="+mn-lt"/>
              <a:ea typeface="+mn-ea"/>
              <a:cs typeface="+mn-cs"/>
            </a:rPr>
            <a:t>Total Valid Sample Count</a:t>
          </a:r>
        </a:p>
      </xdr:txBody>
    </xdr:sp>
    <xdr:clientData/>
  </xdr:twoCellAnchor>
  <xdr:twoCellAnchor>
    <xdr:from>
      <xdr:col>7</xdr:col>
      <xdr:colOff>38165</xdr:colOff>
      <xdr:row>18</xdr:row>
      <xdr:rowOff>190497</xdr:rowOff>
    </xdr:from>
    <xdr:to>
      <xdr:col>10</xdr:col>
      <xdr:colOff>217565</xdr:colOff>
      <xdr:row>19</xdr:row>
      <xdr:rowOff>214313</xdr:rowOff>
    </xdr:to>
    <xdr:sp macro="" textlink="Pivots!#REF!">
      <xdr:nvSpPr>
        <xdr:cNvPr id="67" name="Rectangle 66">
          <a:extLst>
            <a:ext uri="{FF2B5EF4-FFF2-40B4-BE49-F238E27FC236}">
              <a16:creationId xmlns:a16="http://schemas.microsoft.com/office/drawing/2014/main" id="{301B43C6-96E9-4FFE-A09C-78AA7A424B57}"/>
            </a:ext>
          </a:extLst>
        </xdr:cNvPr>
        <xdr:cNvSpPr/>
      </xdr:nvSpPr>
      <xdr:spPr>
        <a:xfrm>
          <a:off x="4591115" y="6081710"/>
          <a:ext cx="1751025" cy="385766"/>
        </a:xfrm>
        <a:prstGeom prst="rect">
          <a:avLst/>
        </a:prstGeom>
        <a:solidFill>
          <a:schemeClr val="accent5">
            <a:lumMod val="75000"/>
          </a:schemeClr>
        </a:solidFill>
        <a:ln>
          <a:noFill/>
        </a:ln>
        <a:effectLst>
          <a:outerShdw blurRad="127000" dist="254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2A193D3-76ED-492F-93F5-4F2B16BAC2B0}" type="TxLink">
            <a:rPr lang="en-US" sz="1200" b="1" i="0" u="none" strike="noStrike">
              <a:solidFill>
                <a:schemeClr val="bg1"/>
              </a:solidFill>
              <a:latin typeface="Calibri"/>
              <a:ea typeface="Calibri"/>
              <a:cs typeface="Calibri"/>
            </a:rPr>
            <a:pPr marL="0" indent="0" algn="ctr"/>
            <a:t>79</a:t>
          </a:fld>
          <a:endParaRPr lang="en-US" sz="1200" b="1" i="0" u="none" strike="noStrike">
            <a:solidFill>
              <a:schemeClr val="bg1"/>
            </a:solidFill>
            <a:latin typeface="Calibri"/>
            <a:ea typeface="Calibri"/>
            <a:cs typeface="Calibri"/>
          </a:endParaRPr>
        </a:p>
      </xdr:txBody>
    </xdr:sp>
    <xdr:clientData/>
  </xdr:twoCellAnchor>
  <xdr:twoCellAnchor>
    <xdr:from>
      <xdr:col>7</xdr:col>
      <xdr:colOff>52973</xdr:colOff>
      <xdr:row>18</xdr:row>
      <xdr:rowOff>175310</xdr:rowOff>
    </xdr:from>
    <xdr:to>
      <xdr:col>10</xdr:col>
      <xdr:colOff>229200</xdr:colOff>
      <xdr:row>19</xdr:row>
      <xdr:rowOff>4698</xdr:rowOff>
    </xdr:to>
    <xdr:sp macro="" textlink="">
      <xdr:nvSpPr>
        <xdr:cNvPr id="68" name="TextBox 67">
          <a:extLst>
            <a:ext uri="{FF2B5EF4-FFF2-40B4-BE49-F238E27FC236}">
              <a16:creationId xmlns:a16="http://schemas.microsoft.com/office/drawing/2014/main" id="{A9499319-BFFA-4927-9864-CC2465A435F7}"/>
            </a:ext>
          </a:extLst>
        </xdr:cNvPr>
        <xdr:cNvSpPr txBox="1"/>
      </xdr:nvSpPr>
      <xdr:spPr>
        <a:xfrm>
          <a:off x="4605923" y="6066523"/>
          <a:ext cx="1747852" cy="191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b="1">
              <a:solidFill>
                <a:schemeClr val="bg1"/>
              </a:solidFill>
              <a:latin typeface="+mn-lt"/>
              <a:ea typeface="+mn-ea"/>
              <a:cs typeface="+mn-cs"/>
            </a:rPr>
            <a:t>Total Invalid Sample Count</a:t>
          </a:r>
        </a:p>
      </xdr:txBody>
    </xdr:sp>
    <xdr:clientData/>
  </xdr:twoCellAnchor>
  <xdr:twoCellAnchor editAs="oneCell">
    <xdr:from>
      <xdr:col>13</xdr:col>
      <xdr:colOff>87201</xdr:colOff>
      <xdr:row>1</xdr:row>
      <xdr:rowOff>1231</xdr:rowOff>
    </xdr:from>
    <xdr:to>
      <xdr:col>13</xdr:col>
      <xdr:colOff>353954</xdr:colOff>
      <xdr:row>2</xdr:row>
      <xdr:rowOff>47626</xdr:rowOff>
    </xdr:to>
    <xdr:pic>
      <xdr:nvPicPr>
        <xdr:cNvPr id="93" name="Graphic 92" descr="Handshake with solid fill">
          <a:extLst>
            <a:ext uri="{FF2B5EF4-FFF2-40B4-BE49-F238E27FC236}">
              <a16:creationId xmlns:a16="http://schemas.microsoft.com/office/drawing/2014/main" id="{AF6869BD-C3F5-47B9-86FA-6D000ED5168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783401" y="382231"/>
          <a:ext cx="266753" cy="265470"/>
        </a:xfrm>
        <a:prstGeom prst="rect">
          <a:avLst/>
        </a:prstGeom>
      </xdr:spPr>
    </xdr:pic>
    <xdr:clientData/>
  </xdr:twoCellAnchor>
  <xdr:twoCellAnchor editAs="oneCell">
    <xdr:from>
      <xdr:col>3</xdr:col>
      <xdr:colOff>40246</xdr:colOff>
      <xdr:row>1</xdr:row>
      <xdr:rowOff>13416</xdr:rowOff>
    </xdr:from>
    <xdr:to>
      <xdr:col>3</xdr:col>
      <xdr:colOff>257176</xdr:colOff>
      <xdr:row>2</xdr:row>
      <xdr:rowOff>9633</xdr:rowOff>
    </xdr:to>
    <xdr:pic>
      <xdr:nvPicPr>
        <xdr:cNvPr id="103" name="Graphic 102" descr="Clipboard with solid fill">
          <a:extLst>
            <a:ext uri="{FF2B5EF4-FFF2-40B4-BE49-F238E27FC236}">
              <a16:creationId xmlns:a16="http://schemas.microsoft.com/office/drawing/2014/main" id="{1B8B2A0F-1E96-5894-8D5D-69B7D273770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211946" y="394416"/>
          <a:ext cx="216930" cy="215292"/>
        </a:xfrm>
        <a:prstGeom prst="rect">
          <a:avLst/>
        </a:prstGeom>
      </xdr:spPr>
    </xdr:pic>
    <xdr:clientData/>
  </xdr:twoCellAnchor>
  <xdr:twoCellAnchor editAs="oneCell">
    <xdr:from>
      <xdr:col>8</xdr:col>
      <xdr:colOff>33540</xdr:colOff>
      <xdr:row>1</xdr:row>
      <xdr:rowOff>20124</xdr:rowOff>
    </xdr:from>
    <xdr:to>
      <xdr:col>8</xdr:col>
      <xdr:colOff>229174</xdr:colOff>
      <xdr:row>1</xdr:row>
      <xdr:rowOff>214313</xdr:rowOff>
    </xdr:to>
    <xdr:pic>
      <xdr:nvPicPr>
        <xdr:cNvPr id="125" name="Graphic 124" descr="List with solid fill">
          <a:extLst>
            <a:ext uri="{FF2B5EF4-FFF2-40B4-BE49-F238E27FC236}">
              <a16:creationId xmlns:a16="http://schemas.microsoft.com/office/drawing/2014/main" id="{4E487108-635C-05D2-A760-D7A40429BE7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967490" y="401124"/>
          <a:ext cx="195634" cy="194189"/>
        </a:xfrm>
        <a:prstGeom prst="rect">
          <a:avLst/>
        </a:prstGeom>
      </xdr:spPr>
    </xdr:pic>
    <xdr:clientData/>
  </xdr:twoCellAnchor>
  <xdr:twoCellAnchor>
    <xdr:from>
      <xdr:col>0</xdr:col>
      <xdr:colOff>95553</xdr:colOff>
      <xdr:row>8</xdr:row>
      <xdr:rowOff>308674</xdr:rowOff>
    </xdr:from>
    <xdr:to>
      <xdr:col>0</xdr:col>
      <xdr:colOff>436003</xdr:colOff>
      <xdr:row>9</xdr:row>
      <xdr:rowOff>253148</xdr:rowOff>
    </xdr:to>
    <xdr:sp macro="" textlink="">
      <xdr:nvSpPr>
        <xdr:cNvPr id="133" name="TextBox 132">
          <a:extLst>
            <a:ext uri="{FF2B5EF4-FFF2-40B4-BE49-F238E27FC236}">
              <a16:creationId xmlns:a16="http://schemas.microsoft.com/office/drawing/2014/main" id="{5955DB0D-EDC4-4AA4-ADA4-6DCD7E590A43}"/>
            </a:ext>
          </a:extLst>
        </xdr:cNvPr>
        <xdr:cNvSpPr txBox="1"/>
      </xdr:nvSpPr>
      <xdr:spPr>
        <a:xfrm>
          <a:off x="95553" y="2651824"/>
          <a:ext cx="340450" cy="306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lumMod val="65000"/>
                  <a:lumOff val="35000"/>
                </a:schemeClr>
              </a:solidFill>
            </a:rPr>
            <a:t>+</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20568981479" backgroundQuery="1" createdVersion="8" refreshedVersion="8" minRefreshableVersion="3" recordCount="0" supportSubquery="1" supportAdvancedDrill="1" xr:uid="{308E7670-0C11-4330-84ED-B7940332E1EC}">
  <cacheSource type="external" connectionId="2"/>
  <cacheFields count="16">
    <cacheField name="[Measures].[Sample Count]" caption="Sample Count" numFmtId="0" hierarchy="21" level="32767"/>
    <cacheField name="[Measures].[Total Processing Time (Min)]" caption="Total Processing Time (Min)" numFmtId="0" hierarchy="22" level="32767"/>
    <cacheField name="[Measures].[Valid Test Count]" caption="Valid Test Count" numFmtId="0" hierarchy="23" level="32767"/>
    <cacheField name="[Measures].[Delivered to EHR Count]" caption="Delivered to EHR Count" numFmtId="0" hierarchy="25" level="32767"/>
    <cacheField name="[Measures].[Invalid Test Count]" caption="Invalid Test Count" numFmtId="0" hierarchy="28" level="32767"/>
    <cacheField name="[Measures].[Undelivered to EHR Count]" caption="Undelivered to EHR Count" numFmtId="0" hierarchy="29" level="32767"/>
    <cacheField name="[Measures].[Analytical Success Rate]" caption="Analytical Success Rate" numFmtId="0" hierarchy="24" level="32767"/>
    <cacheField name="[Measures].[Delivered to EHR Rate]" caption="Delivered to EHR Rate" numFmtId="0" hierarchy="26" level="32767"/>
    <cacheField name="[Measures].[Analytical Failure Rate]" caption="Analytical Failure Rate" numFmtId="0" hierarchy="27" level="32767"/>
    <cacheField name="[Measures].[Undelivered to EHR Rate]" caption="Undelivered to EHR Rate" numFmtId="0" hierarchy="30" level="32767"/>
    <cacheField name="[Measures].[Average Processing Time (Min)]" caption="Average Processing Time (Min)" numFmtId="0" hierarchy="31" level="32767"/>
    <cacheField name="[Measures].[Average Integration Latency (Min)]" caption="Average Integration Latency (Min)" numFmtId="0" hierarchy="32" level="32767"/>
    <cacheField name="[Measures].[Valid Test Critical Latency Count]" caption="Valid Test Critical Latency Count" numFmtId="0" hierarchy="33" level="32767"/>
    <cacheField name="[Measures].[Valid Test Delayed Sync Latency Count]" caption="Valid Test Delayed Sync Latency Count" numFmtId="0" hierarchy="34" level="32767"/>
    <cacheField name="[Measures].[Avg Invalid Run Duration (Min)]" caption="Avg Invalid Run Duration (Min)" numFmtId="0" hierarchy="35" level="32767"/>
    <cacheField name="[Measures].[Avg Invalid Integration Latency (Min)]" caption="Avg Invalid Integration Latency (Min)" numFmtId="0" hierarchy="36" level="32767"/>
  </cacheFields>
  <cacheHierarchies count="47">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0" memberValueDatatype="130" unbalanced="0"/>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0" memberValueDatatype="130" unbalanced="0"/>
    <cacheHierarchy uniqueName="[Lab_Data].[Test Profile]" caption="Test Profile" attribute="1" defaultMemberUniqueName="[Lab_Data].[Test Profile].[All]" allUniqueName="[Lab_Data].[Test Profile].[All]" dimensionUniqueName="[Lab_Data]" displayFolder="" count="0" memberValueDatatype="130" unbalanced="0"/>
    <cacheHierarchy uniqueName="[Lab_Data].[Data Quality Flag]" caption="Data Quality Flag" attribute="1" defaultMemberUniqueName="[Lab_Data].[Data Quality Flag].[All]" allUniqueName="[Lab_Data].[Data Quality Flag].[All]" dimensionUniqueName="[Lab_Data]" displayFolder="" count="0" memberValueDatatype="130" unbalanced="0"/>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0" memberValueDatatype="130" unbalanced="0"/>
    <cacheHierarchy uniqueName="[Machine_SLA].[Analyzer Module]" caption="Analyzer Module" attribute="1" defaultMemberUniqueName="[Machine_SLA].[Analyzer Module].[All]" allUniqueName="[Machine_SLA].[Analyzer Module].[All]" dimensionUniqueName="[Machine_SLA]" displayFolder="" count="0" memberValueDatatype="130" unbalanced="0"/>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oneField="1">
      <fieldsUsage count="1">
        <fieldUsage x="0"/>
      </fieldsUsage>
    </cacheHierarchy>
    <cacheHierarchy uniqueName="[Measures].[Total Processing Time (Min)]" caption="Total Processing Time (Min)" measure="1" displayFolder="" measureGroup="Lab_Data" count="0" oneField="1">
      <fieldsUsage count="1">
        <fieldUsage x="1"/>
      </fieldsUsage>
    </cacheHierarchy>
    <cacheHierarchy uniqueName="[Measures].[Valid Test Count]" caption="Valid Test Count" measure="1" displayFolder="" measureGroup="Lab_Data" count="0" oneField="1">
      <fieldsUsage count="1">
        <fieldUsage x="2"/>
      </fieldsUsage>
    </cacheHierarchy>
    <cacheHierarchy uniqueName="[Measures].[Analytical Success Rate]" caption="Analytical Success Rate" measure="1" displayFolder="" measureGroup="Lab_Data" count="0" oneField="1">
      <fieldsUsage count="1">
        <fieldUsage x="6"/>
      </fieldsUsage>
    </cacheHierarchy>
    <cacheHierarchy uniqueName="[Measures].[Delivered to EHR Count]" caption="Delivered to EHR Count" measure="1" displayFolder="" measureGroup="Lab_Data" count="0" oneField="1">
      <fieldsUsage count="1">
        <fieldUsage x="3"/>
      </fieldsUsage>
    </cacheHierarchy>
    <cacheHierarchy uniqueName="[Measures].[Delivered to EHR Rate]" caption="Delivered to EHR Rate" measure="1" displayFolder="" measureGroup="Lab_Data" count="0" oneField="1">
      <fieldsUsage count="1">
        <fieldUsage x="7"/>
      </fieldsUsage>
    </cacheHierarchy>
    <cacheHierarchy uniqueName="[Measures].[Analytical Failure Rate]" caption="Analytical Failure Rate" measure="1" displayFolder="" measureGroup="Lab_Data" count="0" oneField="1">
      <fieldsUsage count="1">
        <fieldUsage x="8"/>
      </fieldsUsage>
    </cacheHierarchy>
    <cacheHierarchy uniqueName="[Measures].[Invalid Test Count]" caption="Invalid Test Count" measure="1" displayFolder="" measureGroup="Lab_Data" count="0" oneField="1">
      <fieldsUsage count="1">
        <fieldUsage x="4"/>
      </fieldsUsage>
    </cacheHierarchy>
    <cacheHierarchy uniqueName="[Measures].[Undelivered to EHR Count]" caption="Undelivered to EHR Count" measure="1" displayFolder="" measureGroup="Lab_Data" count="0" oneField="1">
      <fieldsUsage count="1">
        <fieldUsage x="5"/>
      </fieldsUsage>
    </cacheHierarchy>
    <cacheHierarchy uniqueName="[Measures].[Undelivered to EHR Rate]" caption="Undelivered to EHR Rate" measure="1" displayFolder="" measureGroup="Lab_Data" count="0" oneField="1">
      <fieldsUsage count="1">
        <fieldUsage x="9"/>
      </fieldsUsage>
    </cacheHierarchy>
    <cacheHierarchy uniqueName="[Measures].[Average Processing Time (Min)]" caption="Average Processing Time (Min)" measure="1" displayFolder="" measureGroup="Lab_Data" count="0" oneField="1">
      <fieldsUsage count="1">
        <fieldUsage x="10"/>
      </fieldsUsage>
    </cacheHierarchy>
    <cacheHierarchy uniqueName="[Measures].[Average Integration Latency (Min)]" caption="Average Integration Latency (Min)" measure="1" displayFolder="" measureGroup="Lab_Data" count="0" oneField="1">
      <fieldsUsage count="1">
        <fieldUsage x="11"/>
      </fieldsUsage>
    </cacheHierarchy>
    <cacheHierarchy uniqueName="[Measures].[Valid Test Critical Latency Count]" caption="Valid Test Critical Latency Count" measure="1" displayFolder="" measureGroup="Lab_Data" count="0" oneField="1">
      <fieldsUsage count="1">
        <fieldUsage x="12"/>
      </fieldsUsage>
    </cacheHierarchy>
    <cacheHierarchy uniqueName="[Measures].[Valid Test Delayed Sync Latency Count]" caption="Valid Test Delayed Sync Latency Count" measure="1" displayFolder="" measureGroup="Lab_Data" count="0" oneField="1">
      <fieldsUsage count="1">
        <fieldUsage x="13"/>
      </fieldsUsage>
    </cacheHierarchy>
    <cacheHierarchy uniqueName="[Measures].[Avg Invalid Run Duration (Min)]" caption="Avg Invalid Run Duration (Min)" measure="1" displayFolder="" measureGroup="Lab_Data" count="0" oneField="1">
      <fieldsUsage count="1">
        <fieldUsage x="14"/>
      </fieldsUsage>
    </cacheHierarchy>
    <cacheHierarchy uniqueName="[Measures].[Avg Invalid Integration Latency (Min)]" caption="Avg Invalid Integration Latency (Min)" measure="1" displayFolder="" measureGroup="Lab_Data" count="0" oneField="1">
      <fieldsUsage count="1">
        <fieldUsage x="15"/>
      </fieldsUsage>
    </cacheHierarchy>
    <cacheHierarchy uniqueName="[Measures].[Tests Over Latency SLA  ]" caption="Tests Over Latency SLA  " measure="1" displayFolder="" measureGroup="Lab_Data" count="0"/>
    <cacheHierarchy uniqueName="[Measures].[Test Under Latency SLA]" caption="Test Under Latency SLA" measure="1" displayFolder="" measureGroup="Lab_Data" count="0"/>
    <cacheHierarchy uniqueName="[Measures].[Tests Over Latency SLA Rate]" caption="Tests Over Latency SLA Rate" measure="1" displayFolder="" measureGroup="Lab_Data" count="0"/>
    <cacheHierarchy uniqueName="[Measures].[Tests Under Latency SLA Rate]" caption="Tests Under Latency SLA Rate" measure="1" displayFolder="" measureGroup="Lab_Data" count="0"/>
    <cacheHierarchy uniqueName="[Measures].[Under Target Processing Time]" caption="Under Target Processing Time" measure="1" displayFolder="" measureGroup="Lab_Data" count="0"/>
    <cacheHierarchy uniqueName="[Measures].[Over Target Processing Time]" caption="Over Target Processing Time" measure="1" displayFolder="" measureGroup="Lab_Data" count="0"/>
    <cacheHierarchy uniqueName="[Measures].[Target Processing Time]" caption="Target Processing Time" measure="1" displayFolder="" measureGroup="Lab_Data" count="0"/>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ies>
  <kpis count="0"/>
  <dimensions count="3">
    <dimension name="Lab_Data" uniqueName="[Lab_Data]" caption="Lab_Data"/>
    <dimension name="Machine_SLA" uniqueName="[Machine_SLA]" caption="Machine_SLA"/>
    <dimension measure="1" name="Measures" uniqueName="[Measures]" caption="Measures"/>
  </dimensions>
  <measureGroups count="2">
    <measureGroup name="Lab_Data" caption="Lab_Data"/>
    <measureGroup name="Machine_SLA" caption="Machine_SL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21178935184" backgroundQuery="1" createdVersion="8" refreshedVersion="8" minRefreshableVersion="3" recordCount="0" supportSubquery="1" supportAdvancedDrill="1" xr:uid="{7C8EEA94-0C44-4C51-835E-A0F654BA03EA}">
  <cacheSource type="external" connectionId="2"/>
  <cacheFields count="9">
    <cacheField name="[Lab_Data].[Analyzer Module].[Analyzer Module]" caption="Analyzer Module" numFmtId="0" hierarchy="1" level="1">
      <sharedItems count="3">
        <s v="Abbott Alinity"/>
        <s v="Beckman Coulter"/>
        <s v="Roche Cobas 8000"/>
      </sharedItems>
    </cacheField>
    <cacheField name="[Measures].[Sum of Processing Time (Min)]" caption="Sum of Processing Time (Min)" numFmtId="0" hierarchy="17" level="32767"/>
    <cacheField name="[Measures].[Sum of Integration Latency (Min)]" caption="Sum of Integration Latency (Min)" numFmtId="0" hierarchy="20" level="32767"/>
    <cacheField name="[Measures].[Analytical Success Rate]" caption="Analytical Success Rate" numFmtId="0" hierarchy="24" level="32767"/>
    <cacheField name="[Measures].[Analytical Failure Rate]" caption="Analytical Failure Rate" numFmtId="0" hierarchy="27" level="32767"/>
    <cacheField name="[Measures].[Average Integration Latency (Min)]" caption="Average Integration Latency (Min)" numFmtId="0" hierarchy="32" level="32767"/>
    <cacheField name="[Measures].[Avg Invalid Run Duration (Min)]" caption="Avg Invalid Run Duration (Min)" numFmtId="0" hierarchy="35" level="32767"/>
    <cacheField name="[Measures].[Avg Invalid Integration Latency (Min)]" caption="Avg Invalid Integration Latency (Min)" numFmtId="0" hierarchy="36" level="32767"/>
    <cacheField name="[Measures].[Average Processing Time (Min)]" caption="Average Processing Time (Min)" numFmtId="0" hierarchy="31" level="32767"/>
  </cacheFields>
  <cacheHierarchies count="47">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2" memberValueDatatype="130" unbalanced="0">
      <fieldsUsage count="2">
        <fieldUsage x="-1"/>
        <fieldUsage x="0"/>
      </fieldsUsage>
    </cacheHierarchy>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0" memberValueDatatype="130" unbalanced="0"/>
    <cacheHierarchy uniqueName="[Lab_Data].[Test Profile]" caption="Test Profile" attribute="1" defaultMemberUniqueName="[Lab_Data].[Test Profile].[All]" allUniqueName="[Lab_Data].[Test Profile].[All]" dimensionUniqueName="[Lab_Data]" displayFolder="" count="0" memberValueDatatype="130" unbalanced="0"/>
    <cacheHierarchy uniqueName="[Lab_Data].[Data Quality Flag]" caption="Data Quality Flag" attribute="1" defaultMemberUniqueName="[Lab_Data].[Data Quality Flag].[All]" allUniqueName="[Lab_Data].[Data Quality Flag].[All]" dimensionUniqueName="[Lab_Data]" displayFolder="" count="0" memberValueDatatype="130" unbalanced="0"/>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0" memberValueDatatype="130" unbalanced="0"/>
    <cacheHierarchy uniqueName="[Machine_SLA].[Analyzer Module]" caption="Analyzer Module" attribute="1" defaultMemberUniqueName="[Machine_SLA].[Analyzer Module].[All]" allUniqueName="[Machine_SLA].[Analyzer Module].[All]" dimensionUniqueName="[Machine_SLA]" displayFolder="" count="0" memberValueDatatype="130" unbalanced="0"/>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oneField="1">
      <fieldsUsage count="1">
        <fieldUsage x="1"/>
      </fieldsUsage>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oneField="1">
      <fieldsUsage count="1">
        <fieldUsage x="2"/>
      </fieldsUsage>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cacheHierarchy uniqueName="[Measures].[Total Processing Time (Min)]" caption="Total Processing Time (Min)" measure="1" displayFolder="" measureGroup="Lab_Data" count="0"/>
    <cacheHierarchy uniqueName="[Measures].[Valid Test Count]" caption="Valid Test Count" measure="1" displayFolder="" measureGroup="Lab_Data" count="0"/>
    <cacheHierarchy uniqueName="[Measures].[Analytical Success Rate]" caption="Analytical Success Rate" measure="1" displayFolder="" measureGroup="Lab_Data" count="0" oneField="1">
      <fieldsUsage count="1">
        <fieldUsage x="3"/>
      </fieldsUsage>
    </cacheHierarchy>
    <cacheHierarchy uniqueName="[Measures].[Delivered to EHR Count]" caption="Delivered to EHR Count" measure="1" displayFolder="" measureGroup="Lab_Data" count="0"/>
    <cacheHierarchy uniqueName="[Measures].[Delivered to EHR Rate]" caption="Delivered to EHR Rate" measure="1" displayFolder="" measureGroup="Lab_Data" count="0"/>
    <cacheHierarchy uniqueName="[Measures].[Analytical Failure Rate]" caption="Analytical Failure Rate" measure="1" displayFolder="" measureGroup="Lab_Data" count="0" oneField="1">
      <fieldsUsage count="1">
        <fieldUsage x="4"/>
      </fieldsUsage>
    </cacheHierarchy>
    <cacheHierarchy uniqueName="[Measures].[Invalid Test Count]" caption="Invalid Test Count" measure="1" displayFolder="" measureGroup="Lab_Data" count="0"/>
    <cacheHierarchy uniqueName="[Measures].[Undelivered to EHR Count]" caption="Undelivered to EHR Count" measure="1" displayFolder="" measureGroup="Lab_Data" count="0"/>
    <cacheHierarchy uniqueName="[Measures].[Undelivered to EHR Rate]" caption="Undelivered to EHR Rate" measure="1" displayFolder="" measureGroup="Lab_Data" count="0"/>
    <cacheHierarchy uniqueName="[Measures].[Average Processing Time (Min)]" caption="Average Processing Time (Min)" measure="1" displayFolder="" measureGroup="Lab_Data" count="0" oneField="1">
      <fieldsUsage count="1">
        <fieldUsage x="8"/>
      </fieldsUsage>
    </cacheHierarchy>
    <cacheHierarchy uniqueName="[Measures].[Average Integration Latency (Min)]" caption="Average Integration Latency (Min)" measure="1" displayFolder="" measureGroup="Lab_Data" count="0" oneField="1">
      <fieldsUsage count="1">
        <fieldUsage x="5"/>
      </fieldsUsage>
    </cacheHierarchy>
    <cacheHierarchy uniqueName="[Measures].[Valid Test Critical Latency Count]" caption="Valid Test Critical Latency Count" measure="1" displayFolder="" measureGroup="Lab_Data" count="0"/>
    <cacheHierarchy uniqueName="[Measures].[Valid Test Delayed Sync Latency Count]" caption="Valid Test Delayed Sync Latency Count" measure="1" displayFolder="" measureGroup="Lab_Data" count="0"/>
    <cacheHierarchy uniqueName="[Measures].[Avg Invalid Run Duration (Min)]" caption="Avg Invalid Run Duration (Min)" measure="1" displayFolder="" measureGroup="Lab_Data" count="0" oneField="1">
      <fieldsUsage count="1">
        <fieldUsage x="6"/>
      </fieldsUsage>
    </cacheHierarchy>
    <cacheHierarchy uniqueName="[Measures].[Avg Invalid Integration Latency (Min)]" caption="Avg Invalid Integration Latency (Min)" measure="1" displayFolder="" measureGroup="Lab_Data" count="0" oneField="1">
      <fieldsUsage count="1">
        <fieldUsage x="7"/>
      </fieldsUsage>
    </cacheHierarchy>
    <cacheHierarchy uniqueName="[Measures].[Tests Over Latency SLA  ]" caption="Tests Over Latency SLA  " measure="1" displayFolder="" measureGroup="Lab_Data" count="0"/>
    <cacheHierarchy uniqueName="[Measures].[Test Under Latency SLA]" caption="Test Under Latency SLA" measure="1" displayFolder="" measureGroup="Lab_Data" count="0"/>
    <cacheHierarchy uniqueName="[Measures].[Tests Over Latency SLA Rate]" caption="Tests Over Latency SLA Rate" measure="1" displayFolder="" measureGroup="Lab_Data" count="0"/>
    <cacheHierarchy uniqueName="[Measures].[Tests Under Latency SLA Rate]" caption="Tests Under Latency SLA Rate" measure="1" displayFolder="" measureGroup="Lab_Data" count="0"/>
    <cacheHierarchy uniqueName="[Measures].[Under Target Processing Time]" caption="Under Target Processing Time" measure="1" displayFolder="" measureGroup="Lab_Data" count="0"/>
    <cacheHierarchy uniqueName="[Measures].[Over Target Processing Time]" caption="Over Target Processing Time" measure="1" displayFolder="" measureGroup="Lab_Data" count="0"/>
    <cacheHierarchy uniqueName="[Measures].[Target Processing Time]" caption="Target Processing Time" measure="1" displayFolder="" measureGroup="Lab_Data" count="0"/>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ies>
  <kpis count="0"/>
  <dimensions count="3">
    <dimension name="Lab_Data" uniqueName="[Lab_Data]" caption="Lab_Data"/>
    <dimension name="Machine_SLA" uniqueName="[Machine_SLA]" caption="Machine_SLA"/>
    <dimension measure="1" name="Measures" uniqueName="[Measures]" caption="Measures"/>
  </dimensions>
  <measureGroups count="2">
    <measureGroup name="Lab_Data" caption="Lab_Data"/>
    <measureGroup name="Machine_SLA" caption="Machine_SL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32940046297" backgroundQuery="1" createdVersion="8" refreshedVersion="8" minRefreshableVersion="3" recordCount="0" supportSubquery="1" supportAdvancedDrill="1" xr:uid="{035EEF22-429C-4E0F-A473-97E851350FDA}">
  <cacheSource type="external" connectionId="2"/>
  <cacheFields count="17">
    <cacheField name="[Measures].[Sample Count]" caption="Sample Count" numFmtId="0" hierarchy="21" level="32767"/>
    <cacheField name="[Measures].[Total Processing Time (Min)]" caption="Total Processing Time (Min)" numFmtId="0" hierarchy="22" level="32767"/>
    <cacheField name="[Measures].[Valid Test Count]" caption="Valid Test Count" numFmtId="0" hierarchy="23" level="32767"/>
    <cacheField name="[Measures].[Delivered to EHR Count]" caption="Delivered to EHR Count" numFmtId="0" hierarchy="25" level="32767"/>
    <cacheField name="[Measures].[Invalid Test Count]" caption="Invalid Test Count" numFmtId="0" hierarchy="28" level="32767"/>
    <cacheField name="[Measures].[Undelivered to EHR Count]" caption="Undelivered to EHR Count" numFmtId="0" hierarchy="29" level="32767"/>
    <cacheField name="[Measures].[Analytical Success Rate]" caption="Analytical Success Rate" numFmtId="0" hierarchy="24" level="32767"/>
    <cacheField name="[Measures].[Delivered to EHR Rate]" caption="Delivered to EHR Rate" numFmtId="0" hierarchy="26" level="32767"/>
    <cacheField name="[Measures].[Analytical Failure Rate]" caption="Analytical Failure Rate" numFmtId="0" hierarchy="27" level="32767"/>
    <cacheField name="[Measures].[Undelivered to EHR Rate]" caption="Undelivered to EHR Rate" numFmtId="0" hierarchy="30" level="32767"/>
    <cacheField name="[Measures].[Average Processing Time (Min)]" caption="Average Processing Time (Min)" numFmtId="0" hierarchy="31" level="32767"/>
    <cacheField name="[Measures].[Average Integration Latency (Min)]" caption="Average Integration Latency (Min)" numFmtId="0" hierarchy="32" level="32767"/>
    <cacheField name="[Measures].[Valid Test Critical Latency Count]" caption="Valid Test Critical Latency Count" numFmtId="0" hierarchy="33" level="32767"/>
    <cacheField name="[Measures].[Valid Test Delayed Sync Latency Count]" caption="Valid Test Delayed Sync Latency Count" numFmtId="0" hierarchy="34" level="32767"/>
    <cacheField name="[Measures].[Avg Invalid Run Duration (Min)]" caption="Avg Invalid Run Duration (Min)" numFmtId="0" hierarchy="35" level="32767"/>
    <cacheField name="[Measures].[Avg Invalid Integration Latency (Min)]" caption="Avg Invalid Integration Latency (Min)" numFmtId="0" hierarchy="36" level="32767"/>
    <cacheField name="[Lab_Data].[Analyzer Module].[Analyzer Module]" caption="Analyzer Module" numFmtId="0" hierarchy="1" level="1">
      <sharedItems containsSemiMixedTypes="0" containsNonDate="0" containsString="0"/>
    </cacheField>
  </cacheFields>
  <cacheHierarchies count="47">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2" memberValueDatatype="130" unbalanced="0">
      <fieldsUsage count="2">
        <fieldUsage x="-1"/>
        <fieldUsage x="16"/>
      </fieldsUsage>
    </cacheHierarchy>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0" memberValueDatatype="130" unbalanced="0"/>
    <cacheHierarchy uniqueName="[Lab_Data].[Test Profile]" caption="Test Profile" attribute="1" defaultMemberUniqueName="[Lab_Data].[Test Profile].[All]" allUniqueName="[Lab_Data].[Test Profile].[All]" dimensionUniqueName="[Lab_Data]" displayFolder="" count="0" memberValueDatatype="130" unbalanced="0"/>
    <cacheHierarchy uniqueName="[Lab_Data].[Data Quality Flag]" caption="Data Quality Flag" attribute="1" defaultMemberUniqueName="[Lab_Data].[Data Quality Flag].[All]" allUniqueName="[Lab_Data].[Data Quality Flag].[All]" dimensionUniqueName="[Lab_Data]" displayFolder="" count="0" memberValueDatatype="130" unbalanced="0"/>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0" memberValueDatatype="130" unbalanced="0"/>
    <cacheHierarchy uniqueName="[Machine_SLA].[Analyzer Module]" caption="Analyzer Module" attribute="1" defaultMemberUniqueName="[Machine_SLA].[Analyzer Module].[All]" allUniqueName="[Machine_SLA].[Analyzer Module].[All]" dimensionUniqueName="[Machine_SLA]" displayFolder="" count="0" memberValueDatatype="130" unbalanced="0"/>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oneField="1">
      <fieldsUsage count="1">
        <fieldUsage x="0"/>
      </fieldsUsage>
    </cacheHierarchy>
    <cacheHierarchy uniqueName="[Measures].[Total Processing Time (Min)]" caption="Total Processing Time (Min)" measure="1" displayFolder="" measureGroup="Lab_Data" count="0" oneField="1">
      <fieldsUsage count="1">
        <fieldUsage x="1"/>
      </fieldsUsage>
    </cacheHierarchy>
    <cacheHierarchy uniqueName="[Measures].[Valid Test Count]" caption="Valid Test Count" measure="1" displayFolder="" measureGroup="Lab_Data" count="0" oneField="1">
      <fieldsUsage count="1">
        <fieldUsage x="2"/>
      </fieldsUsage>
    </cacheHierarchy>
    <cacheHierarchy uniqueName="[Measures].[Analytical Success Rate]" caption="Analytical Success Rate" measure="1" displayFolder="" measureGroup="Lab_Data" count="0" oneField="1">
      <fieldsUsage count="1">
        <fieldUsage x="6"/>
      </fieldsUsage>
    </cacheHierarchy>
    <cacheHierarchy uniqueName="[Measures].[Delivered to EHR Count]" caption="Delivered to EHR Count" measure="1" displayFolder="" measureGroup="Lab_Data" count="0" oneField="1">
      <fieldsUsage count="1">
        <fieldUsage x="3"/>
      </fieldsUsage>
    </cacheHierarchy>
    <cacheHierarchy uniqueName="[Measures].[Delivered to EHR Rate]" caption="Delivered to EHR Rate" measure="1" displayFolder="" measureGroup="Lab_Data" count="0" oneField="1">
      <fieldsUsage count="1">
        <fieldUsage x="7"/>
      </fieldsUsage>
    </cacheHierarchy>
    <cacheHierarchy uniqueName="[Measures].[Analytical Failure Rate]" caption="Analytical Failure Rate" measure="1" displayFolder="" measureGroup="Lab_Data" count="0" oneField="1">
      <fieldsUsage count="1">
        <fieldUsage x="8"/>
      </fieldsUsage>
    </cacheHierarchy>
    <cacheHierarchy uniqueName="[Measures].[Invalid Test Count]" caption="Invalid Test Count" measure="1" displayFolder="" measureGroup="Lab_Data" count="0" oneField="1">
      <fieldsUsage count="1">
        <fieldUsage x="4"/>
      </fieldsUsage>
    </cacheHierarchy>
    <cacheHierarchy uniqueName="[Measures].[Undelivered to EHR Count]" caption="Undelivered to EHR Count" measure="1" displayFolder="" measureGroup="Lab_Data" count="0" oneField="1">
      <fieldsUsage count="1">
        <fieldUsage x="5"/>
      </fieldsUsage>
    </cacheHierarchy>
    <cacheHierarchy uniqueName="[Measures].[Undelivered to EHR Rate]" caption="Undelivered to EHR Rate" measure="1" displayFolder="" measureGroup="Lab_Data" count="0" oneField="1">
      <fieldsUsage count="1">
        <fieldUsage x="9"/>
      </fieldsUsage>
    </cacheHierarchy>
    <cacheHierarchy uniqueName="[Measures].[Average Processing Time (Min)]" caption="Average Processing Time (Min)" measure="1" displayFolder="" measureGroup="Lab_Data" count="0" oneField="1">
      <fieldsUsage count="1">
        <fieldUsage x="10"/>
      </fieldsUsage>
    </cacheHierarchy>
    <cacheHierarchy uniqueName="[Measures].[Average Integration Latency (Min)]" caption="Average Integration Latency (Min)" measure="1" displayFolder="" measureGroup="Lab_Data" count="0" oneField="1">
      <fieldsUsage count="1">
        <fieldUsage x="11"/>
      </fieldsUsage>
    </cacheHierarchy>
    <cacheHierarchy uniqueName="[Measures].[Valid Test Critical Latency Count]" caption="Valid Test Critical Latency Count" measure="1" displayFolder="" measureGroup="Lab_Data" count="0" oneField="1">
      <fieldsUsage count="1">
        <fieldUsage x="12"/>
      </fieldsUsage>
    </cacheHierarchy>
    <cacheHierarchy uniqueName="[Measures].[Valid Test Delayed Sync Latency Count]" caption="Valid Test Delayed Sync Latency Count" measure="1" displayFolder="" measureGroup="Lab_Data" count="0" oneField="1">
      <fieldsUsage count="1">
        <fieldUsage x="13"/>
      </fieldsUsage>
    </cacheHierarchy>
    <cacheHierarchy uniqueName="[Measures].[Avg Invalid Run Duration (Min)]" caption="Avg Invalid Run Duration (Min)" measure="1" displayFolder="" measureGroup="Lab_Data" count="0" oneField="1">
      <fieldsUsage count="1">
        <fieldUsage x="14"/>
      </fieldsUsage>
    </cacheHierarchy>
    <cacheHierarchy uniqueName="[Measures].[Avg Invalid Integration Latency (Min)]" caption="Avg Invalid Integration Latency (Min)" measure="1" displayFolder="" measureGroup="Lab_Data" count="0" oneField="1">
      <fieldsUsage count="1">
        <fieldUsage x="15"/>
      </fieldsUsage>
    </cacheHierarchy>
    <cacheHierarchy uniqueName="[Measures].[Tests Over Latency SLA  ]" caption="Tests Over Latency SLA  " measure="1" displayFolder="" measureGroup="Lab_Data" count="0"/>
    <cacheHierarchy uniqueName="[Measures].[Test Under Latency SLA]" caption="Test Under Latency SLA" measure="1" displayFolder="" measureGroup="Lab_Data" count="0"/>
    <cacheHierarchy uniqueName="[Measures].[Tests Over Latency SLA Rate]" caption="Tests Over Latency SLA Rate" measure="1" displayFolder="" measureGroup="Lab_Data" count="0"/>
    <cacheHierarchy uniqueName="[Measures].[Tests Under Latency SLA Rate]" caption="Tests Under Latency SLA Rate" measure="1" displayFolder="" measureGroup="Lab_Data" count="0"/>
    <cacheHierarchy uniqueName="[Measures].[Under Target Processing Time]" caption="Under Target Processing Time" measure="1" displayFolder="" measureGroup="Lab_Data" count="0"/>
    <cacheHierarchy uniqueName="[Measures].[Over Target Processing Time]" caption="Over Target Processing Time" measure="1" displayFolder="" measureGroup="Lab_Data" count="0"/>
    <cacheHierarchy uniqueName="[Measures].[Target Processing Time]" caption="Target Processing Time" measure="1" displayFolder="" measureGroup="Lab_Data" count="0"/>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ies>
  <kpis count="0"/>
  <dimensions count="3">
    <dimension name="Lab_Data" uniqueName="[Lab_Data]" caption="Lab_Data"/>
    <dimension name="Machine_SLA" uniqueName="[Machine_SLA]" caption="Machine_SLA"/>
    <dimension measure="1" name="Measures" uniqueName="[Measures]" caption="Measures"/>
  </dimensions>
  <measureGroups count="2">
    <measureGroup name="Lab_Data" caption="Lab_Data"/>
    <measureGroup name="Machine_SLA" caption="Machine_SL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32940509259" backgroundQuery="1" createdVersion="8" refreshedVersion="8" minRefreshableVersion="3" recordCount="0" supportSubquery="1" supportAdvancedDrill="1" xr:uid="{B8167768-A177-4EEB-8B9B-8DFB97105D03}">
  <cacheSource type="external" connectionId="2"/>
  <cacheFields count="5">
    <cacheField name="[Measures].[Sample Count]" caption="Sample Count" numFmtId="0" hierarchy="21" level="32767"/>
    <cacheField name="[Lab_Data].[Day of Week].[Day of Week]" caption="Day of Week" numFmtId="0" hierarchy="10" level="1">
      <sharedItems count="5">
        <s v="Friday"/>
        <s v="Monday"/>
        <s v="Thursday"/>
        <s v="Tuesday"/>
        <s v="Wednesday"/>
      </sharedItems>
    </cacheField>
    <cacheField name="[Measures].[Analytical Failure Rate]" caption="Analytical Failure Rate" numFmtId="0" hierarchy="27" level="32767"/>
    <cacheField name="[Lab_Data].[Analyzer Module].[Analyzer Module]" caption="Analyzer Module" numFmtId="0" hierarchy="1" level="1">
      <sharedItems containsSemiMixedTypes="0" containsNonDate="0" containsString="0"/>
    </cacheField>
    <cacheField name="Unsupported0" numFmtId="0" hierarchy="47" level="32767">
      <extLst>
        <ext xmlns:x14="http://schemas.microsoft.com/office/spreadsheetml/2009/9/main" uri="{63CAB8AC-B538-458d-9737-405883B0398D}">
          <x14:cacheField ignore="1"/>
        </ext>
      </extLst>
    </cacheField>
  </cacheFields>
  <cacheHierarchies count="48">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2" memberValueDatatype="130" unbalanced="0">
      <fieldsUsage count="2">
        <fieldUsage x="-1"/>
        <fieldUsage x="3"/>
      </fieldsUsage>
    </cacheHierarchy>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0" memberValueDatatype="130" unbalanced="0"/>
    <cacheHierarchy uniqueName="[Lab_Data].[Test Profile]" caption="Test Profile" attribute="1" defaultMemberUniqueName="[Lab_Data].[Test Profile].[All]" allUniqueName="[Lab_Data].[Test Profile].[All]" dimensionUniqueName="[Lab_Data]" displayFolder="" count="0" memberValueDatatype="130" unbalanced="0"/>
    <cacheHierarchy uniqueName="[Lab_Data].[Data Quality Flag]" caption="Data Quality Flag" attribute="1" defaultMemberUniqueName="[Lab_Data].[Data Quality Flag].[All]" allUniqueName="[Lab_Data].[Data Quality Flag].[All]" dimensionUniqueName="[Lab_Data]" displayFolder="" count="0" memberValueDatatype="130" unbalanced="0"/>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2" memberValueDatatype="130" unbalanced="0">
      <fieldsUsage count="2">
        <fieldUsage x="-1"/>
        <fieldUsage x="1"/>
      </fieldsUsage>
    </cacheHierarchy>
    <cacheHierarchy uniqueName="[Machine_SLA].[Analyzer Module]" caption="Analyzer Module" attribute="1" defaultMemberUniqueName="[Machine_SLA].[Analyzer Module].[All]" allUniqueName="[Machine_SLA].[Analyzer Module].[All]" dimensionUniqueName="[Machine_SLA]" displayFolder="" count="0" memberValueDatatype="130" unbalanced="0"/>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oneField="1">
      <fieldsUsage count="1">
        <fieldUsage x="0"/>
      </fieldsUsage>
    </cacheHierarchy>
    <cacheHierarchy uniqueName="[Measures].[Total Processing Time (Min)]" caption="Total Processing Time (Min)" measure="1" displayFolder="" measureGroup="Lab_Data" count="0"/>
    <cacheHierarchy uniqueName="[Measures].[Valid Test Count]" caption="Valid Test Count" measure="1" displayFolder="" measureGroup="Lab_Data" count="0"/>
    <cacheHierarchy uniqueName="[Measures].[Analytical Success Rate]" caption="Analytical Success Rate" measure="1" displayFolder="" measureGroup="Lab_Data" count="0"/>
    <cacheHierarchy uniqueName="[Measures].[Delivered to EHR Count]" caption="Delivered to EHR Count" measure="1" displayFolder="" measureGroup="Lab_Data" count="0"/>
    <cacheHierarchy uniqueName="[Measures].[Delivered to EHR Rate]" caption="Delivered to EHR Rate" measure="1" displayFolder="" measureGroup="Lab_Data" count="0"/>
    <cacheHierarchy uniqueName="[Measures].[Analytical Failure Rate]" caption="Analytical Failure Rate" measure="1" displayFolder="" measureGroup="Lab_Data" count="0" oneField="1">
      <fieldsUsage count="1">
        <fieldUsage x="2"/>
      </fieldsUsage>
    </cacheHierarchy>
    <cacheHierarchy uniqueName="[Measures].[Invalid Test Count]" caption="Invalid Test Count" measure="1" displayFolder="" measureGroup="Lab_Data" count="0"/>
    <cacheHierarchy uniqueName="[Measures].[Undelivered to EHR Count]" caption="Undelivered to EHR Count" measure="1" displayFolder="" measureGroup="Lab_Data" count="0"/>
    <cacheHierarchy uniqueName="[Measures].[Undelivered to EHR Rate]" caption="Undelivered to EHR Rate" measure="1" displayFolder="" measureGroup="Lab_Data" count="0"/>
    <cacheHierarchy uniqueName="[Measures].[Average Processing Time (Min)]" caption="Average Processing Time (Min)" measure="1" displayFolder="" measureGroup="Lab_Data" count="0"/>
    <cacheHierarchy uniqueName="[Measures].[Average Integration Latency (Min)]" caption="Average Integration Latency (Min)" measure="1" displayFolder="" measureGroup="Lab_Data" count="0"/>
    <cacheHierarchy uniqueName="[Measures].[Valid Test Critical Latency Count]" caption="Valid Test Critical Latency Count" measure="1" displayFolder="" measureGroup="Lab_Data" count="0"/>
    <cacheHierarchy uniqueName="[Measures].[Valid Test Delayed Sync Latency Count]" caption="Valid Test Delayed Sync Latency Count" measure="1" displayFolder="" measureGroup="Lab_Data" count="0"/>
    <cacheHierarchy uniqueName="[Measures].[Avg Invalid Run Duration (Min)]" caption="Avg Invalid Run Duration (Min)" measure="1" displayFolder="" measureGroup="Lab_Data" count="0"/>
    <cacheHierarchy uniqueName="[Measures].[Avg Invalid Integration Latency (Min)]" caption="Avg Invalid Integration Latency (Min)" measure="1" displayFolder="" measureGroup="Lab_Data" count="0"/>
    <cacheHierarchy uniqueName="[Measures].[Tests Over Latency SLA  ]" caption="Tests Over Latency SLA  " measure="1" displayFolder="" measureGroup="Lab_Data" count="0"/>
    <cacheHierarchy uniqueName="[Measures].[Test Under Latency SLA]" caption="Test Under Latency SLA" measure="1" displayFolder="" measureGroup="Lab_Data" count="0"/>
    <cacheHierarchy uniqueName="[Measures].[Tests Over Latency SLA Rate]" caption="Tests Over Latency SLA Rate" measure="1" displayFolder="" measureGroup="Lab_Data" count="0"/>
    <cacheHierarchy uniqueName="[Measures].[Tests Under Latency SLA Rate]" caption="Tests Under Latency SLA Rate" measure="1" displayFolder="" measureGroup="Lab_Data" count="0"/>
    <cacheHierarchy uniqueName="[Measures].[Under Target Processing Time]" caption="Under Target Processing Time" measure="1" displayFolder="" measureGroup="Lab_Data" count="0"/>
    <cacheHierarchy uniqueName="[Measures].[Over Target Processing Time]" caption="Over Target Processing Time" measure="1" displayFolder="" measureGroup="Lab_Data" count="0"/>
    <cacheHierarchy uniqueName="[Measures].[Target Processing Time]" caption="Target Processing Time" measure="1" displayFolder="" measureGroup="Lab_Data" count="0"/>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y uniqueName="Unsupported0" caption="Sample ID" measure="1" count="0">
      <extLst>
        <ext xmlns:x14="http://schemas.microsoft.com/office/spreadsheetml/2009/9/main" uri="{8CF416AD-EC4C-4aba-99F5-12A058AE0983}">
          <x14:cacheHierarchy ignore="1"/>
        </ext>
      </extLst>
    </cacheHierarchy>
  </cacheHierarchies>
  <kpis count="0"/>
  <dimensions count="3">
    <dimension name="Lab_Data" uniqueName="[Lab_Data]" caption="Lab_Data"/>
    <dimension name="Machine_SLA" uniqueName="[Machine_SLA]" caption="Machine_SLA"/>
    <dimension measure="1" name="Measures" uniqueName="[Measures]" caption="Measures"/>
  </dimensions>
  <measureGroups count="2">
    <measureGroup name="Lab_Data" caption="Lab_Data"/>
    <measureGroup name="Machine_SLA" caption="Machine_SL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32940856482" backgroundQuery="1" createdVersion="8" refreshedVersion="8" minRefreshableVersion="3" recordCount="0" supportSubquery="1" supportAdvancedDrill="1" xr:uid="{752DE65C-440A-4EC7-9DBE-D56D78C6832C}">
  <cacheSource type="external" connectionId="2"/>
  <cacheFields count="1">
    <cacheField name="[Lab_Data].[Analyzer Module].[Analyzer Module]" caption="Analyzer Module" numFmtId="0" hierarchy="1" level="1">
      <sharedItems count="1">
        <s v="Abbott Alinity"/>
      </sharedItems>
    </cacheField>
  </cacheFields>
  <cacheHierarchies count="47">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2" memberValueDatatype="130" unbalanced="0">
      <fieldsUsage count="2">
        <fieldUsage x="-1"/>
        <fieldUsage x="0"/>
      </fieldsUsage>
    </cacheHierarchy>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0" memberValueDatatype="130" unbalanced="0"/>
    <cacheHierarchy uniqueName="[Lab_Data].[Test Profile]" caption="Test Profile" attribute="1" defaultMemberUniqueName="[Lab_Data].[Test Profile].[All]" allUniqueName="[Lab_Data].[Test Profile].[All]" dimensionUniqueName="[Lab_Data]" displayFolder="" count="0" memberValueDatatype="130" unbalanced="0"/>
    <cacheHierarchy uniqueName="[Lab_Data].[Data Quality Flag]" caption="Data Quality Flag" attribute="1" defaultMemberUniqueName="[Lab_Data].[Data Quality Flag].[All]" allUniqueName="[Lab_Data].[Data Quality Flag].[All]" dimensionUniqueName="[Lab_Data]" displayFolder="" count="0" memberValueDatatype="130" unbalanced="0"/>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0" memberValueDatatype="130" unbalanced="0"/>
    <cacheHierarchy uniqueName="[Machine_SLA].[Analyzer Module]" caption="Analyzer Module" attribute="1" defaultMemberUniqueName="[Machine_SLA].[Analyzer Module].[All]" allUniqueName="[Machine_SLA].[Analyzer Module].[All]" dimensionUniqueName="[Machine_SLA]" displayFolder="" count="0" memberValueDatatype="130" unbalanced="0"/>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cacheHierarchy uniqueName="[Measures].[Total Processing Time (Min)]" caption="Total Processing Time (Min)" measure="1" displayFolder="" measureGroup="Lab_Data" count="0"/>
    <cacheHierarchy uniqueName="[Measures].[Valid Test Count]" caption="Valid Test Count" measure="1" displayFolder="" measureGroup="Lab_Data" count="0"/>
    <cacheHierarchy uniqueName="[Measures].[Analytical Success Rate]" caption="Analytical Success Rate" measure="1" displayFolder="" measureGroup="Lab_Data" count="0"/>
    <cacheHierarchy uniqueName="[Measures].[Delivered to EHR Count]" caption="Delivered to EHR Count" measure="1" displayFolder="" measureGroup="Lab_Data" count="0"/>
    <cacheHierarchy uniqueName="[Measures].[Delivered to EHR Rate]" caption="Delivered to EHR Rate" measure="1" displayFolder="" measureGroup="Lab_Data" count="0"/>
    <cacheHierarchy uniqueName="[Measures].[Analytical Failure Rate]" caption="Analytical Failure Rate" measure="1" displayFolder="" measureGroup="Lab_Data" count="0"/>
    <cacheHierarchy uniqueName="[Measures].[Invalid Test Count]" caption="Invalid Test Count" measure="1" displayFolder="" measureGroup="Lab_Data" count="0"/>
    <cacheHierarchy uniqueName="[Measures].[Undelivered to EHR Count]" caption="Undelivered to EHR Count" measure="1" displayFolder="" measureGroup="Lab_Data" count="0"/>
    <cacheHierarchy uniqueName="[Measures].[Undelivered to EHR Rate]" caption="Undelivered to EHR Rate" measure="1" displayFolder="" measureGroup="Lab_Data" count="0"/>
    <cacheHierarchy uniqueName="[Measures].[Average Processing Time (Min)]" caption="Average Processing Time (Min)" measure="1" displayFolder="" measureGroup="Lab_Data" count="0"/>
    <cacheHierarchy uniqueName="[Measures].[Average Integration Latency (Min)]" caption="Average Integration Latency (Min)" measure="1" displayFolder="" measureGroup="Lab_Data" count="0"/>
    <cacheHierarchy uniqueName="[Measures].[Valid Test Critical Latency Count]" caption="Valid Test Critical Latency Count" measure="1" displayFolder="" measureGroup="Lab_Data" count="0"/>
    <cacheHierarchy uniqueName="[Measures].[Valid Test Delayed Sync Latency Count]" caption="Valid Test Delayed Sync Latency Count" measure="1" displayFolder="" measureGroup="Lab_Data" count="0"/>
    <cacheHierarchy uniqueName="[Measures].[Avg Invalid Run Duration (Min)]" caption="Avg Invalid Run Duration (Min)" measure="1" displayFolder="" measureGroup="Lab_Data" count="0"/>
    <cacheHierarchy uniqueName="[Measures].[Avg Invalid Integration Latency (Min)]" caption="Avg Invalid Integration Latency (Min)" measure="1" displayFolder="" measureGroup="Lab_Data" count="0"/>
    <cacheHierarchy uniqueName="[Measures].[Tests Over Latency SLA  ]" caption="Tests Over Latency SLA  " measure="1" displayFolder="" measureGroup="Lab_Data" count="0"/>
    <cacheHierarchy uniqueName="[Measures].[Test Under Latency SLA]" caption="Test Under Latency SLA" measure="1" displayFolder="" measureGroup="Lab_Data" count="0"/>
    <cacheHierarchy uniqueName="[Measures].[Tests Over Latency SLA Rate]" caption="Tests Over Latency SLA Rate" measure="1" displayFolder="" measureGroup="Lab_Data" count="0"/>
    <cacheHierarchy uniqueName="[Measures].[Tests Under Latency SLA Rate]" caption="Tests Under Latency SLA Rate" measure="1" displayFolder="" measureGroup="Lab_Data" count="0"/>
    <cacheHierarchy uniqueName="[Measures].[Under Target Processing Time]" caption="Under Target Processing Time" measure="1" displayFolder="" measureGroup="Lab_Data" count="0"/>
    <cacheHierarchy uniqueName="[Measures].[Over Target Processing Time]" caption="Over Target Processing Time" measure="1" displayFolder="" measureGroup="Lab_Data" count="0"/>
    <cacheHierarchy uniqueName="[Measures].[Target Processing Time]" caption="Target Processing Time" measure="1" displayFolder="" measureGroup="Lab_Data" count="0"/>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ies>
  <kpis count="0"/>
  <dimensions count="3">
    <dimension name="Lab_Data" uniqueName="[Lab_Data]" caption="Lab_Data"/>
    <dimension name="Machine_SLA" uniqueName="[Machine_SLA]" caption="Machine_SLA"/>
    <dimension measure="1" name="Measures" uniqueName="[Measures]" caption="Measures"/>
  </dimensions>
  <measureGroups count="2">
    <measureGroup name="Lab_Data" caption="Lab_Data"/>
    <measureGroup name="Machine_SLA" caption="Machine_SL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32941203706" backgroundQuery="1" createdVersion="8" refreshedVersion="8" minRefreshableVersion="3" recordCount="0" supportSubquery="1" supportAdvancedDrill="1" xr:uid="{0311D21D-1ED8-4B47-BB9E-EA7F8B32E983}">
  <cacheSource type="external" connectionId="2"/>
  <cacheFields count="4">
    <cacheField name="[Lab_Data].[Data Quality Flag].[Data Quality Flag]" caption="Data Quality Flag" numFmtId="0" hierarchy="6" level="1">
      <sharedItems count="2">
        <s v="Critical Error"/>
        <s v="Valid"/>
      </sharedItems>
    </cacheField>
    <cacheField name="[Measures].[Delivered to EHR Count]" caption="Delivered to EHR Count" numFmtId="0" hierarchy="25" level="32767"/>
    <cacheField name="[Measures].[Undelivered to EHR Count]" caption="Undelivered to EHR Count" numFmtId="0" hierarchy="29" level="32767"/>
    <cacheField name="[Lab_Data].[Analyzer Module].[Analyzer Module]" caption="Analyzer Module" numFmtId="0" hierarchy="1" level="1">
      <sharedItems containsSemiMixedTypes="0" containsNonDate="0" containsString="0"/>
    </cacheField>
  </cacheFields>
  <cacheHierarchies count="47">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2" memberValueDatatype="130" unbalanced="0">
      <fieldsUsage count="2">
        <fieldUsage x="-1"/>
        <fieldUsage x="3"/>
      </fieldsUsage>
    </cacheHierarchy>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0" memberValueDatatype="130" unbalanced="0"/>
    <cacheHierarchy uniqueName="[Lab_Data].[Test Profile]" caption="Test Profile" attribute="1" defaultMemberUniqueName="[Lab_Data].[Test Profile].[All]" allUniqueName="[Lab_Data].[Test Profile].[All]" dimensionUniqueName="[Lab_Data]" displayFolder="" count="0" memberValueDatatype="130" unbalanced="0"/>
    <cacheHierarchy uniqueName="[Lab_Data].[Data Quality Flag]" caption="Data Quality Flag" attribute="1" defaultMemberUniqueName="[Lab_Data].[Data Quality Flag].[All]" allUniqueName="[Lab_Data].[Data Quality Flag].[All]" dimensionUniqueName="[Lab_Data]" displayFolder="" count="2" memberValueDatatype="130" unbalanced="0">
      <fieldsUsage count="2">
        <fieldUsage x="-1"/>
        <fieldUsage x="0"/>
      </fieldsUsage>
    </cacheHierarchy>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0" memberValueDatatype="130" unbalanced="0"/>
    <cacheHierarchy uniqueName="[Machine_SLA].[Analyzer Module]" caption="Analyzer Module" attribute="1" defaultMemberUniqueName="[Machine_SLA].[Analyzer Module].[All]" allUniqueName="[Machine_SLA].[Analyzer Module].[All]" dimensionUniqueName="[Machine_SLA]" displayFolder="" count="0" memberValueDatatype="130" unbalanced="0"/>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cacheHierarchy uniqueName="[Measures].[Total Processing Time (Min)]" caption="Total Processing Time (Min)" measure="1" displayFolder="" measureGroup="Lab_Data" count="0"/>
    <cacheHierarchy uniqueName="[Measures].[Valid Test Count]" caption="Valid Test Count" measure="1" displayFolder="" measureGroup="Lab_Data" count="0"/>
    <cacheHierarchy uniqueName="[Measures].[Analytical Success Rate]" caption="Analytical Success Rate" measure="1" displayFolder="" measureGroup="Lab_Data" count="0"/>
    <cacheHierarchy uniqueName="[Measures].[Delivered to EHR Count]" caption="Delivered to EHR Count" measure="1" displayFolder="" measureGroup="Lab_Data" count="0" oneField="1">
      <fieldsUsage count="1">
        <fieldUsage x="1"/>
      </fieldsUsage>
    </cacheHierarchy>
    <cacheHierarchy uniqueName="[Measures].[Delivered to EHR Rate]" caption="Delivered to EHR Rate" measure="1" displayFolder="" measureGroup="Lab_Data" count="0"/>
    <cacheHierarchy uniqueName="[Measures].[Analytical Failure Rate]" caption="Analytical Failure Rate" measure="1" displayFolder="" measureGroup="Lab_Data" count="0"/>
    <cacheHierarchy uniqueName="[Measures].[Invalid Test Count]" caption="Invalid Test Count" measure="1" displayFolder="" measureGroup="Lab_Data" count="0"/>
    <cacheHierarchy uniqueName="[Measures].[Undelivered to EHR Count]" caption="Undelivered to EHR Count" measure="1" displayFolder="" measureGroup="Lab_Data" count="0" oneField="1">
      <fieldsUsage count="1">
        <fieldUsage x="2"/>
      </fieldsUsage>
    </cacheHierarchy>
    <cacheHierarchy uniqueName="[Measures].[Undelivered to EHR Rate]" caption="Undelivered to EHR Rate" measure="1" displayFolder="" measureGroup="Lab_Data" count="0"/>
    <cacheHierarchy uniqueName="[Measures].[Average Processing Time (Min)]" caption="Average Processing Time (Min)" measure="1" displayFolder="" measureGroup="Lab_Data" count="0"/>
    <cacheHierarchy uniqueName="[Measures].[Average Integration Latency (Min)]" caption="Average Integration Latency (Min)" measure="1" displayFolder="" measureGroup="Lab_Data" count="0"/>
    <cacheHierarchy uniqueName="[Measures].[Valid Test Critical Latency Count]" caption="Valid Test Critical Latency Count" measure="1" displayFolder="" measureGroup="Lab_Data" count="0"/>
    <cacheHierarchy uniqueName="[Measures].[Valid Test Delayed Sync Latency Count]" caption="Valid Test Delayed Sync Latency Count" measure="1" displayFolder="" measureGroup="Lab_Data" count="0"/>
    <cacheHierarchy uniqueName="[Measures].[Avg Invalid Run Duration (Min)]" caption="Avg Invalid Run Duration (Min)" measure="1" displayFolder="" measureGroup="Lab_Data" count="0"/>
    <cacheHierarchy uniqueName="[Measures].[Avg Invalid Integration Latency (Min)]" caption="Avg Invalid Integration Latency (Min)" measure="1" displayFolder="" measureGroup="Lab_Data" count="0"/>
    <cacheHierarchy uniqueName="[Measures].[Tests Over Latency SLA  ]" caption="Tests Over Latency SLA  " measure="1" displayFolder="" measureGroup="Lab_Data" count="0"/>
    <cacheHierarchy uniqueName="[Measures].[Test Under Latency SLA]" caption="Test Under Latency SLA" measure="1" displayFolder="" measureGroup="Lab_Data" count="0"/>
    <cacheHierarchy uniqueName="[Measures].[Tests Over Latency SLA Rate]" caption="Tests Over Latency SLA Rate" measure="1" displayFolder="" measureGroup="Lab_Data" count="0"/>
    <cacheHierarchy uniqueName="[Measures].[Tests Under Latency SLA Rate]" caption="Tests Under Latency SLA Rate" measure="1" displayFolder="" measureGroup="Lab_Data" count="0"/>
    <cacheHierarchy uniqueName="[Measures].[Under Target Processing Time]" caption="Under Target Processing Time" measure="1" displayFolder="" measureGroup="Lab_Data" count="0"/>
    <cacheHierarchy uniqueName="[Measures].[Over Target Processing Time]" caption="Over Target Processing Time" measure="1" displayFolder="" measureGroup="Lab_Data" count="0"/>
    <cacheHierarchy uniqueName="[Measures].[Target Processing Time]" caption="Target Processing Time" measure="1" displayFolder="" measureGroup="Lab_Data" count="0"/>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ies>
  <kpis count="0"/>
  <dimensions count="3">
    <dimension name="Lab_Data" uniqueName="[Lab_Data]" caption="Lab_Data"/>
    <dimension name="Machine_SLA" uniqueName="[Machine_SLA]" caption="Machine_SLA"/>
    <dimension measure="1" name="Measures" uniqueName="[Measures]" caption="Measures"/>
  </dimensions>
  <measureGroups count="2">
    <measureGroup name="Lab_Data" caption="Lab_Data"/>
    <measureGroup name="Machine_SLA" caption="Machine_SL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32941550929" backgroundQuery="1" createdVersion="8" refreshedVersion="8" minRefreshableVersion="3" recordCount="0" supportSubquery="1" supportAdvancedDrill="1" xr:uid="{4954A3C5-18B1-49D9-9736-DA643A99C631}">
  <cacheSource type="external" connectionId="2"/>
  <cacheFields count="4">
    <cacheField name="[Lab_Data].[Data Quality Flag].[Data Quality Flag]" caption="Data Quality Flag" numFmtId="0" hierarchy="6" level="1">
      <sharedItems count="2">
        <s v="Critical Error"/>
        <s v="Valid"/>
      </sharedItems>
    </cacheField>
    <cacheField name="[Measures].[Delivered to EHR Rate]" caption="Delivered to EHR Rate" numFmtId="0" hierarchy="26" level="32767"/>
    <cacheField name="[Measures].[Undelivered to EHR Rate]" caption="Undelivered to EHR Rate" numFmtId="0" hierarchy="30" level="32767"/>
    <cacheField name="[Lab_Data].[Analyzer Module].[Analyzer Module]" caption="Analyzer Module" numFmtId="0" hierarchy="1" level="1">
      <sharedItems containsSemiMixedTypes="0" containsNonDate="0" containsString="0"/>
    </cacheField>
  </cacheFields>
  <cacheHierarchies count="47">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2" memberValueDatatype="130" unbalanced="0">
      <fieldsUsage count="2">
        <fieldUsage x="-1"/>
        <fieldUsage x="3"/>
      </fieldsUsage>
    </cacheHierarchy>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0" memberValueDatatype="130" unbalanced="0"/>
    <cacheHierarchy uniqueName="[Lab_Data].[Test Profile]" caption="Test Profile" attribute="1" defaultMemberUniqueName="[Lab_Data].[Test Profile].[All]" allUniqueName="[Lab_Data].[Test Profile].[All]" dimensionUniqueName="[Lab_Data]" displayFolder="" count="0" memberValueDatatype="130" unbalanced="0"/>
    <cacheHierarchy uniqueName="[Lab_Data].[Data Quality Flag]" caption="Data Quality Flag" attribute="1" defaultMemberUniqueName="[Lab_Data].[Data Quality Flag].[All]" allUniqueName="[Lab_Data].[Data Quality Flag].[All]" dimensionUniqueName="[Lab_Data]" displayFolder="" count="2" memberValueDatatype="130" unbalanced="0">
      <fieldsUsage count="2">
        <fieldUsage x="-1"/>
        <fieldUsage x="0"/>
      </fieldsUsage>
    </cacheHierarchy>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0" memberValueDatatype="130" unbalanced="0"/>
    <cacheHierarchy uniqueName="[Machine_SLA].[Analyzer Module]" caption="Analyzer Module" attribute="1" defaultMemberUniqueName="[Machine_SLA].[Analyzer Module].[All]" allUniqueName="[Machine_SLA].[Analyzer Module].[All]" dimensionUniqueName="[Machine_SLA]" displayFolder="" count="0" memberValueDatatype="130" unbalanced="0"/>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cacheHierarchy uniqueName="[Measures].[Total Processing Time (Min)]" caption="Total Processing Time (Min)" measure="1" displayFolder="" measureGroup="Lab_Data" count="0"/>
    <cacheHierarchy uniqueName="[Measures].[Valid Test Count]" caption="Valid Test Count" measure="1" displayFolder="" measureGroup="Lab_Data" count="0"/>
    <cacheHierarchy uniqueName="[Measures].[Analytical Success Rate]" caption="Analytical Success Rate" measure="1" displayFolder="" measureGroup="Lab_Data" count="0"/>
    <cacheHierarchy uniqueName="[Measures].[Delivered to EHR Count]" caption="Delivered to EHR Count" measure="1" displayFolder="" measureGroup="Lab_Data" count="0"/>
    <cacheHierarchy uniqueName="[Measures].[Delivered to EHR Rate]" caption="Delivered to EHR Rate" measure="1" displayFolder="" measureGroup="Lab_Data" count="0" oneField="1">
      <fieldsUsage count="1">
        <fieldUsage x="1"/>
      </fieldsUsage>
    </cacheHierarchy>
    <cacheHierarchy uniqueName="[Measures].[Analytical Failure Rate]" caption="Analytical Failure Rate" measure="1" displayFolder="" measureGroup="Lab_Data" count="0"/>
    <cacheHierarchy uniqueName="[Measures].[Invalid Test Count]" caption="Invalid Test Count" measure="1" displayFolder="" measureGroup="Lab_Data" count="0"/>
    <cacheHierarchy uniqueName="[Measures].[Undelivered to EHR Count]" caption="Undelivered to EHR Count" measure="1" displayFolder="" measureGroup="Lab_Data" count="0"/>
    <cacheHierarchy uniqueName="[Measures].[Undelivered to EHR Rate]" caption="Undelivered to EHR Rate" measure="1" displayFolder="" measureGroup="Lab_Data" count="0" oneField="1">
      <fieldsUsage count="1">
        <fieldUsage x="2"/>
      </fieldsUsage>
    </cacheHierarchy>
    <cacheHierarchy uniqueName="[Measures].[Average Processing Time (Min)]" caption="Average Processing Time (Min)" measure="1" displayFolder="" measureGroup="Lab_Data" count="0"/>
    <cacheHierarchy uniqueName="[Measures].[Average Integration Latency (Min)]" caption="Average Integration Latency (Min)" measure="1" displayFolder="" measureGroup="Lab_Data" count="0"/>
    <cacheHierarchy uniqueName="[Measures].[Valid Test Critical Latency Count]" caption="Valid Test Critical Latency Count" measure="1" displayFolder="" measureGroup="Lab_Data" count="0"/>
    <cacheHierarchy uniqueName="[Measures].[Valid Test Delayed Sync Latency Count]" caption="Valid Test Delayed Sync Latency Count" measure="1" displayFolder="" measureGroup="Lab_Data" count="0"/>
    <cacheHierarchy uniqueName="[Measures].[Avg Invalid Run Duration (Min)]" caption="Avg Invalid Run Duration (Min)" measure="1" displayFolder="" measureGroup="Lab_Data" count="0"/>
    <cacheHierarchy uniqueName="[Measures].[Avg Invalid Integration Latency (Min)]" caption="Avg Invalid Integration Latency (Min)" measure="1" displayFolder="" measureGroup="Lab_Data" count="0"/>
    <cacheHierarchy uniqueName="[Measures].[Tests Over Latency SLA  ]" caption="Tests Over Latency SLA  " measure="1" displayFolder="" measureGroup="Lab_Data" count="0"/>
    <cacheHierarchy uniqueName="[Measures].[Test Under Latency SLA]" caption="Test Under Latency SLA" measure="1" displayFolder="" measureGroup="Lab_Data" count="0"/>
    <cacheHierarchy uniqueName="[Measures].[Tests Over Latency SLA Rate]" caption="Tests Over Latency SLA Rate" measure="1" displayFolder="" measureGroup="Lab_Data" count="0"/>
    <cacheHierarchy uniqueName="[Measures].[Tests Under Latency SLA Rate]" caption="Tests Under Latency SLA Rate" measure="1" displayFolder="" measureGroup="Lab_Data" count="0"/>
    <cacheHierarchy uniqueName="[Measures].[Under Target Processing Time]" caption="Under Target Processing Time" measure="1" displayFolder="" measureGroup="Lab_Data" count="0"/>
    <cacheHierarchy uniqueName="[Measures].[Over Target Processing Time]" caption="Over Target Processing Time" measure="1" displayFolder="" measureGroup="Lab_Data" count="0"/>
    <cacheHierarchy uniqueName="[Measures].[Target Processing Time]" caption="Target Processing Time" measure="1" displayFolder="" measureGroup="Lab_Data" count="0"/>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ies>
  <kpis count="0"/>
  <dimensions count="3">
    <dimension name="Lab_Data" uniqueName="[Lab_Data]" caption="Lab_Data"/>
    <dimension name="Machine_SLA" uniqueName="[Machine_SLA]" caption="Machine_SLA"/>
    <dimension measure="1" name="Measures" uniqueName="[Measures]" caption="Measures"/>
  </dimensions>
  <measureGroups count="2">
    <measureGroup name="Lab_Data" caption="Lab_Data"/>
    <measureGroup name="Machine_SLA" caption="Machine_SL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32941898145" backgroundQuery="1" createdVersion="8" refreshedVersion="8" minRefreshableVersion="3" recordCount="0" supportSubquery="1" supportAdvancedDrill="1" xr:uid="{E0C8FE2A-95FF-4463-B10D-81B12D53F918}">
  <cacheSource type="external" connectionId="2"/>
  <cacheFields count="4">
    <cacheField name="[Lab_Data].[Data Quality Flag].[Data Quality Flag]" caption="Data Quality Flag" numFmtId="0" hierarchy="6" level="1">
      <sharedItems count="2">
        <s v="Critical Error"/>
        <s v="Valid"/>
      </sharedItems>
    </cacheField>
    <cacheField name="[Measures].[Tests Over Latency SLA  ]" caption="Tests Over Latency SLA  " numFmtId="0" hierarchy="37" level="32767"/>
    <cacheField name="[Measures].[Test Under Latency SLA]" caption="Test Under Latency SLA" numFmtId="0" hierarchy="38" level="32767"/>
    <cacheField name="[Lab_Data].[Analyzer Module].[Analyzer Module]" caption="Analyzer Module" numFmtId="0" hierarchy="1" level="1">
      <sharedItems containsSemiMixedTypes="0" containsNonDate="0" containsString="0"/>
    </cacheField>
  </cacheFields>
  <cacheHierarchies count="47">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2" memberValueDatatype="130" unbalanced="0">
      <fieldsUsage count="2">
        <fieldUsage x="-1"/>
        <fieldUsage x="3"/>
      </fieldsUsage>
    </cacheHierarchy>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0" memberValueDatatype="130" unbalanced="0"/>
    <cacheHierarchy uniqueName="[Lab_Data].[Test Profile]" caption="Test Profile" attribute="1" defaultMemberUniqueName="[Lab_Data].[Test Profile].[All]" allUniqueName="[Lab_Data].[Test Profile].[All]" dimensionUniqueName="[Lab_Data]" displayFolder="" count="0" memberValueDatatype="130" unbalanced="0"/>
    <cacheHierarchy uniqueName="[Lab_Data].[Data Quality Flag]" caption="Data Quality Flag" attribute="1" defaultMemberUniqueName="[Lab_Data].[Data Quality Flag].[All]" allUniqueName="[Lab_Data].[Data Quality Flag].[All]" dimensionUniqueName="[Lab_Data]" displayFolder="" count="2" memberValueDatatype="130" unbalanced="0">
      <fieldsUsage count="2">
        <fieldUsage x="-1"/>
        <fieldUsage x="0"/>
      </fieldsUsage>
    </cacheHierarchy>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0" memberValueDatatype="130" unbalanced="0"/>
    <cacheHierarchy uniqueName="[Machine_SLA].[Analyzer Module]" caption="Analyzer Module" attribute="1" defaultMemberUniqueName="[Machine_SLA].[Analyzer Module].[All]" allUniqueName="[Machine_SLA].[Analyzer Module].[All]" dimensionUniqueName="[Machine_SLA]" displayFolder="" count="0" memberValueDatatype="130" unbalanced="0"/>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cacheHierarchy uniqueName="[Measures].[Total Processing Time (Min)]" caption="Total Processing Time (Min)" measure="1" displayFolder="" measureGroup="Lab_Data" count="0"/>
    <cacheHierarchy uniqueName="[Measures].[Valid Test Count]" caption="Valid Test Count" measure="1" displayFolder="" measureGroup="Lab_Data" count="0"/>
    <cacheHierarchy uniqueName="[Measures].[Analytical Success Rate]" caption="Analytical Success Rate" measure="1" displayFolder="" measureGroup="Lab_Data" count="0"/>
    <cacheHierarchy uniqueName="[Measures].[Delivered to EHR Count]" caption="Delivered to EHR Count" measure="1" displayFolder="" measureGroup="Lab_Data" count="0"/>
    <cacheHierarchy uniqueName="[Measures].[Delivered to EHR Rate]" caption="Delivered to EHR Rate" measure="1" displayFolder="" measureGroup="Lab_Data" count="0"/>
    <cacheHierarchy uniqueName="[Measures].[Analytical Failure Rate]" caption="Analytical Failure Rate" measure="1" displayFolder="" measureGroup="Lab_Data" count="0"/>
    <cacheHierarchy uniqueName="[Measures].[Invalid Test Count]" caption="Invalid Test Count" measure="1" displayFolder="" measureGroup="Lab_Data" count="0"/>
    <cacheHierarchy uniqueName="[Measures].[Undelivered to EHR Count]" caption="Undelivered to EHR Count" measure="1" displayFolder="" measureGroup="Lab_Data" count="0"/>
    <cacheHierarchy uniqueName="[Measures].[Undelivered to EHR Rate]" caption="Undelivered to EHR Rate" measure="1" displayFolder="" measureGroup="Lab_Data" count="0"/>
    <cacheHierarchy uniqueName="[Measures].[Average Processing Time (Min)]" caption="Average Processing Time (Min)" measure="1" displayFolder="" measureGroup="Lab_Data" count="0"/>
    <cacheHierarchy uniqueName="[Measures].[Average Integration Latency (Min)]" caption="Average Integration Latency (Min)" measure="1" displayFolder="" measureGroup="Lab_Data" count="0"/>
    <cacheHierarchy uniqueName="[Measures].[Valid Test Critical Latency Count]" caption="Valid Test Critical Latency Count" measure="1" displayFolder="" measureGroup="Lab_Data" count="0"/>
    <cacheHierarchy uniqueName="[Measures].[Valid Test Delayed Sync Latency Count]" caption="Valid Test Delayed Sync Latency Count" measure="1" displayFolder="" measureGroup="Lab_Data" count="0"/>
    <cacheHierarchy uniqueName="[Measures].[Avg Invalid Run Duration (Min)]" caption="Avg Invalid Run Duration (Min)" measure="1" displayFolder="" measureGroup="Lab_Data" count="0"/>
    <cacheHierarchy uniqueName="[Measures].[Avg Invalid Integration Latency (Min)]" caption="Avg Invalid Integration Latency (Min)" measure="1" displayFolder="" measureGroup="Lab_Data" count="0"/>
    <cacheHierarchy uniqueName="[Measures].[Tests Over Latency SLA  ]" caption="Tests Over Latency SLA  " measure="1" displayFolder="" measureGroup="Lab_Data" count="0" oneField="1">
      <fieldsUsage count="1">
        <fieldUsage x="1"/>
      </fieldsUsage>
    </cacheHierarchy>
    <cacheHierarchy uniqueName="[Measures].[Test Under Latency SLA]" caption="Test Under Latency SLA" measure="1" displayFolder="" measureGroup="Lab_Data" count="0" oneField="1">
      <fieldsUsage count="1">
        <fieldUsage x="2"/>
      </fieldsUsage>
    </cacheHierarchy>
    <cacheHierarchy uniqueName="[Measures].[Tests Over Latency SLA Rate]" caption="Tests Over Latency SLA Rate" measure="1" displayFolder="" measureGroup="Lab_Data" count="0"/>
    <cacheHierarchy uniqueName="[Measures].[Tests Under Latency SLA Rate]" caption="Tests Under Latency SLA Rate" measure="1" displayFolder="" measureGroup="Lab_Data" count="0"/>
    <cacheHierarchy uniqueName="[Measures].[Under Target Processing Time]" caption="Under Target Processing Time" measure="1" displayFolder="" measureGroup="Lab_Data" count="0"/>
    <cacheHierarchy uniqueName="[Measures].[Over Target Processing Time]" caption="Over Target Processing Time" measure="1" displayFolder="" measureGroup="Lab_Data" count="0"/>
    <cacheHierarchy uniqueName="[Measures].[Target Processing Time]" caption="Target Processing Time" measure="1" displayFolder="" measureGroup="Lab_Data" count="0"/>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ies>
  <kpis count="0"/>
  <dimensions count="3">
    <dimension name="Lab_Data" uniqueName="[Lab_Data]" caption="Lab_Data"/>
    <dimension name="Machine_SLA" uniqueName="[Machine_SLA]" caption="Machine_SLA"/>
    <dimension measure="1" name="Measures" uniqueName="[Measures]" caption="Measures"/>
  </dimensions>
  <measureGroups count="2">
    <measureGroup name="Lab_Data" caption="Lab_Data"/>
    <measureGroup name="Machine_SLA" caption="Machine_SL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32942245368" backgroundQuery="1" createdVersion="8" refreshedVersion="8" minRefreshableVersion="3" recordCount="0" supportSubquery="1" supportAdvancedDrill="1" xr:uid="{030E6D4E-E212-496B-88D1-216B129917C7}">
  <cacheSource type="external" connectionId="2"/>
  <cacheFields count="4">
    <cacheField name="[Lab_Data].[Data Quality Flag].[Data Quality Flag]" caption="Data Quality Flag" numFmtId="0" hierarchy="6" level="1">
      <sharedItems count="2">
        <s v="Critical Error"/>
        <s v="Valid"/>
      </sharedItems>
    </cacheField>
    <cacheField name="[Measures].[Tests Over Latency SLA Rate]" caption="Tests Over Latency SLA Rate" numFmtId="0" hierarchy="39" level="32767"/>
    <cacheField name="[Measures].[Tests Under Latency SLA Rate]" caption="Tests Under Latency SLA Rate" numFmtId="0" hierarchy="40" level="32767"/>
    <cacheField name="[Lab_Data].[Analyzer Module].[Analyzer Module]" caption="Analyzer Module" numFmtId="0" hierarchy="1" level="1">
      <sharedItems containsSemiMixedTypes="0" containsNonDate="0" containsString="0"/>
    </cacheField>
  </cacheFields>
  <cacheHierarchies count="47">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2" memberValueDatatype="130" unbalanced="0">
      <fieldsUsage count="2">
        <fieldUsage x="-1"/>
        <fieldUsage x="3"/>
      </fieldsUsage>
    </cacheHierarchy>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0" memberValueDatatype="130" unbalanced="0"/>
    <cacheHierarchy uniqueName="[Lab_Data].[Test Profile]" caption="Test Profile" attribute="1" defaultMemberUniqueName="[Lab_Data].[Test Profile].[All]" allUniqueName="[Lab_Data].[Test Profile].[All]" dimensionUniqueName="[Lab_Data]" displayFolder="" count="0" memberValueDatatype="130" unbalanced="0"/>
    <cacheHierarchy uniqueName="[Lab_Data].[Data Quality Flag]" caption="Data Quality Flag" attribute="1" defaultMemberUniqueName="[Lab_Data].[Data Quality Flag].[All]" allUniqueName="[Lab_Data].[Data Quality Flag].[All]" dimensionUniqueName="[Lab_Data]" displayFolder="" count="2" memberValueDatatype="130" unbalanced="0">
      <fieldsUsage count="2">
        <fieldUsage x="-1"/>
        <fieldUsage x="0"/>
      </fieldsUsage>
    </cacheHierarchy>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0" memberValueDatatype="130" unbalanced="0"/>
    <cacheHierarchy uniqueName="[Machine_SLA].[Analyzer Module]" caption="Analyzer Module" attribute="1" defaultMemberUniqueName="[Machine_SLA].[Analyzer Module].[All]" allUniqueName="[Machine_SLA].[Analyzer Module].[All]" dimensionUniqueName="[Machine_SLA]" displayFolder="" count="0" memberValueDatatype="130" unbalanced="0"/>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cacheHierarchy uniqueName="[Measures].[Total Processing Time (Min)]" caption="Total Processing Time (Min)" measure="1" displayFolder="" measureGroup="Lab_Data" count="0"/>
    <cacheHierarchy uniqueName="[Measures].[Valid Test Count]" caption="Valid Test Count" measure="1" displayFolder="" measureGroup="Lab_Data" count="0"/>
    <cacheHierarchy uniqueName="[Measures].[Analytical Success Rate]" caption="Analytical Success Rate" measure="1" displayFolder="" measureGroup="Lab_Data" count="0"/>
    <cacheHierarchy uniqueName="[Measures].[Delivered to EHR Count]" caption="Delivered to EHR Count" measure="1" displayFolder="" measureGroup="Lab_Data" count="0"/>
    <cacheHierarchy uniqueName="[Measures].[Delivered to EHR Rate]" caption="Delivered to EHR Rate" measure="1" displayFolder="" measureGroup="Lab_Data" count="0"/>
    <cacheHierarchy uniqueName="[Measures].[Analytical Failure Rate]" caption="Analytical Failure Rate" measure="1" displayFolder="" measureGroup="Lab_Data" count="0"/>
    <cacheHierarchy uniqueName="[Measures].[Invalid Test Count]" caption="Invalid Test Count" measure="1" displayFolder="" measureGroup="Lab_Data" count="0"/>
    <cacheHierarchy uniqueName="[Measures].[Undelivered to EHR Count]" caption="Undelivered to EHR Count" measure="1" displayFolder="" measureGroup="Lab_Data" count="0"/>
    <cacheHierarchy uniqueName="[Measures].[Undelivered to EHR Rate]" caption="Undelivered to EHR Rate" measure="1" displayFolder="" measureGroup="Lab_Data" count="0"/>
    <cacheHierarchy uniqueName="[Measures].[Average Processing Time (Min)]" caption="Average Processing Time (Min)" measure="1" displayFolder="" measureGroup="Lab_Data" count="0"/>
    <cacheHierarchy uniqueName="[Measures].[Average Integration Latency (Min)]" caption="Average Integration Latency (Min)" measure="1" displayFolder="" measureGroup="Lab_Data" count="0"/>
    <cacheHierarchy uniqueName="[Measures].[Valid Test Critical Latency Count]" caption="Valid Test Critical Latency Count" measure="1" displayFolder="" measureGroup="Lab_Data" count="0"/>
    <cacheHierarchy uniqueName="[Measures].[Valid Test Delayed Sync Latency Count]" caption="Valid Test Delayed Sync Latency Count" measure="1" displayFolder="" measureGroup="Lab_Data" count="0"/>
    <cacheHierarchy uniqueName="[Measures].[Avg Invalid Run Duration (Min)]" caption="Avg Invalid Run Duration (Min)" measure="1" displayFolder="" measureGroup="Lab_Data" count="0"/>
    <cacheHierarchy uniqueName="[Measures].[Avg Invalid Integration Latency (Min)]" caption="Avg Invalid Integration Latency (Min)" measure="1" displayFolder="" measureGroup="Lab_Data" count="0"/>
    <cacheHierarchy uniqueName="[Measures].[Tests Over Latency SLA  ]" caption="Tests Over Latency SLA  " measure="1" displayFolder="" measureGroup="Lab_Data" count="0"/>
    <cacheHierarchy uniqueName="[Measures].[Test Under Latency SLA]" caption="Test Under Latency SLA" measure="1" displayFolder="" measureGroup="Lab_Data" count="0"/>
    <cacheHierarchy uniqueName="[Measures].[Tests Over Latency SLA Rate]" caption="Tests Over Latency SLA Rate" measure="1" displayFolder="" measureGroup="Lab_Data" count="0" oneField="1">
      <fieldsUsage count="1">
        <fieldUsage x="1"/>
      </fieldsUsage>
    </cacheHierarchy>
    <cacheHierarchy uniqueName="[Measures].[Tests Under Latency SLA Rate]" caption="Tests Under Latency SLA Rate" measure="1" displayFolder="" measureGroup="Lab_Data" count="0" oneField="1">
      <fieldsUsage count="1">
        <fieldUsage x="2"/>
      </fieldsUsage>
    </cacheHierarchy>
    <cacheHierarchy uniqueName="[Measures].[Under Target Processing Time]" caption="Under Target Processing Time" measure="1" displayFolder="" measureGroup="Lab_Data" count="0"/>
    <cacheHierarchy uniqueName="[Measures].[Over Target Processing Time]" caption="Over Target Processing Time" measure="1" displayFolder="" measureGroup="Lab_Data" count="0"/>
    <cacheHierarchy uniqueName="[Measures].[Target Processing Time]" caption="Target Processing Time" measure="1" displayFolder="" measureGroup="Lab_Data" count="0"/>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ies>
  <kpis count="0"/>
  <dimensions count="3">
    <dimension name="Lab_Data" uniqueName="[Lab_Data]" caption="Lab_Data"/>
    <dimension name="Machine_SLA" uniqueName="[Machine_SLA]" caption="Machine_SLA"/>
    <dimension measure="1" name="Measures" uniqueName="[Measures]" caption="Measures"/>
  </dimensions>
  <measureGroups count="2">
    <measureGroup name="Lab_Data" caption="Lab_Data"/>
    <measureGroup name="Machine_SLA" caption="Machine_SL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3294270833" backgroundQuery="1" createdVersion="8" refreshedVersion="8" minRefreshableVersion="3" recordCount="0" supportSubquery="1" supportAdvancedDrill="1" xr:uid="{B5B86D4F-926A-4573-86DB-0A2935B95380}">
  <cacheSource type="external" connectionId="2"/>
  <cacheFields count="6">
    <cacheField name="[Machine_SLA].[Analyzer Module].[Analyzer Module]" caption="Analyzer Module" numFmtId="0" hierarchy="11" level="1">
      <sharedItems count="3">
        <s v="Abbott Alinity"/>
        <s v="Beckman Coulter"/>
        <s v="Roche Cobas 8000"/>
      </sharedItems>
    </cacheField>
    <cacheField name="[Lab_Data].[Analyzer Module].[Analyzer Module]" caption="Analyzer Module" numFmtId="0" hierarchy="1" level="1">
      <sharedItems containsSemiMixedTypes="0" containsNonDate="0" containsString="0"/>
    </cacheField>
    <cacheField name="[Measures].[Under Target Processing Time]" caption="Under Target Processing Time" numFmtId="0" hierarchy="41" level="32767"/>
    <cacheField name="[Measures].[Target Processing Time]" caption="Target Processing Time" numFmtId="0" hierarchy="43" level="32767"/>
    <cacheField name="[Measures].[Over Target Processing Time]" caption="Over Target Processing Time" numFmtId="0" hierarchy="42" level="32767"/>
    <cacheField name="[Measures].[Average Processing Time (Min)]" caption="Average Processing Time (Min)" numFmtId="0" hierarchy="31" level="32767"/>
  </cacheFields>
  <cacheHierarchies count="47">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2" memberValueDatatype="130" unbalanced="0">
      <fieldsUsage count="2">
        <fieldUsage x="-1"/>
        <fieldUsage x="1"/>
      </fieldsUsage>
    </cacheHierarchy>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0" memberValueDatatype="130" unbalanced="0"/>
    <cacheHierarchy uniqueName="[Lab_Data].[Test Profile]" caption="Test Profile" attribute="1" defaultMemberUniqueName="[Lab_Data].[Test Profile].[All]" allUniqueName="[Lab_Data].[Test Profile].[All]" dimensionUniqueName="[Lab_Data]" displayFolder="" count="0" memberValueDatatype="130" unbalanced="0"/>
    <cacheHierarchy uniqueName="[Lab_Data].[Data Quality Flag]" caption="Data Quality Flag" attribute="1" defaultMemberUniqueName="[Lab_Data].[Data Quality Flag].[All]" allUniqueName="[Lab_Data].[Data Quality Flag].[All]" dimensionUniqueName="[Lab_Data]" displayFolder="" count="0" memberValueDatatype="130" unbalanced="0"/>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0" memberValueDatatype="130" unbalanced="0"/>
    <cacheHierarchy uniqueName="[Machine_SLA].[Analyzer Module]" caption="Analyzer Module" attribute="1" defaultMemberUniqueName="[Machine_SLA].[Analyzer Module].[All]" allUniqueName="[Machine_SLA].[Analyzer Module].[All]" dimensionUniqueName="[Machine_SLA]" displayFolder="" count="2" memberValueDatatype="130" unbalanced="0">
      <fieldsUsage count="2">
        <fieldUsage x="-1"/>
        <fieldUsage x="0"/>
      </fieldsUsage>
    </cacheHierarchy>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cacheHierarchy uniqueName="[Measures].[Total Processing Time (Min)]" caption="Total Processing Time (Min)" measure="1" displayFolder="" measureGroup="Lab_Data" count="0"/>
    <cacheHierarchy uniqueName="[Measures].[Valid Test Count]" caption="Valid Test Count" measure="1" displayFolder="" measureGroup="Lab_Data" count="0"/>
    <cacheHierarchy uniqueName="[Measures].[Analytical Success Rate]" caption="Analytical Success Rate" measure="1" displayFolder="" measureGroup="Lab_Data" count="0"/>
    <cacheHierarchy uniqueName="[Measures].[Delivered to EHR Count]" caption="Delivered to EHR Count" measure="1" displayFolder="" measureGroup="Lab_Data" count="0"/>
    <cacheHierarchy uniqueName="[Measures].[Delivered to EHR Rate]" caption="Delivered to EHR Rate" measure="1" displayFolder="" measureGroup="Lab_Data" count="0"/>
    <cacheHierarchy uniqueName="[Measures].[Analytical Failure Rate]" caption="Analytical Failure Rate" measure="1" displayFolder="" measureGroup="Lab_Data" count="0"/>
    <cacheHierarchy uniqueName="[Measures].[Invalid Test Count]" caption="Invalid Test Count" measure="1" displayFolder="" measureGroup="Lab_Data" count="0"/>
    <cacheHierarchy uniqueName="[Measures].[Undelivered to EHR Count]" caption="Undelivered to EHR Count" measure="1" displayFolder="" measureGroup="Lab_Data" count="0"/>
    <cacheHierarchy uniqueName="[Measures].[Undelivered to EHR Rate]" caption="Undelivered to EHR Rate" measure="1" displayFolder="" measureGroup="Lab_Data" count="0"/>
    <cacheHierarchy uniqueName="[Measures].[Average Processing Time (Min)]" caption="Average Processing Time (Min)" measure="1" displayFolder="" measureGroup="Lab_Data" count="0" oneField="1">
      <fieldsUsage count="1">
        <fieldUsage x="5"/>
      </fieldsUsage>
    </cacheHierarchy>
    <cacheHierarchy uniqueName="[Measures].[Average Integration Latency (Min)]" caption="Average Integration Latency (Min)" measure="1" displayFolder="" measureGroup="Lab_Data" count="0"/>
    <cacheHierarchy uniqueName="[Measures].[Valid Test Critical Latency Count]" caption="Valid Test Critical Latency Count" measure="1" displayFolder="" measureGroup="Lab_Data" count="0"/>
    <cacheHierarchy uniqueName="[Measures].[Valid Test Delayed Sync Latency Count]" caption="Valid Test Delayed Sync Latency Count" measure="1" displayFolder="" measureGroup="Lab_Data" count="0"/>
    <cacheHierarchy uniqueName="[Measures].[Avg Invalid Run Duration (Min)]" caption="Avg Invalid Run Duration (Min)" measure="1" displayFolder="" measureGroup="Lab_Data" count="0"/>
    <cacheHierarchy uniqueName="[Measures].[Avg Invalid Integration Latency (Min)]" caption="Avg Invalid Integration Latency (Min)" measure="1" displayFolder="" measureGroup="Lab_Data" count="0"/>
    <cacheHierarchy uniqueName="[Measures].[Tests Over Latency SLA  ]" caption="Tests Over Latency SLA  " measure="1" displayFolder="" measureGroup="Lab_Data" count="0"/>
    <cacheHierarchy uniqueName="[Measures].[Test Under Latency SLA]" caption="Test Under Latency SLA" measure="1" displayFolder="" measureGroup="Lab_Data" count="0"/>
    <cacheHierarchy uniqueName="[Measures].[Tests Over Latency SLA Rate]" caption="Tests Over Latency SLA Rate" measure="1" displayFolder="" measureGroup="Lab_Data" count="0"/>
    <cacheHierarchy uniqueName="[Measures].[Tests Under Latency SLA Rate]" caption="Tests Under Latency SLA Rate" measure="1" displayFolder="" measureGroup="Lab_Data" count="0"/>
    <cacheHierarchy uniqueName="[Measures].[Under Target Processing Time]" caption="Under Target Processing Time" measure="1" displayFolder="" measureGroup="Lab_Data" count="0" oneField="1">
      <fieldsUsage count="1">
        <fieldUsage x="2"/>
      </fieldsUsage>
    </cacheHierarchy>
    <cacheHierarchy uniqueName="[Measures].[Over Target Processing Time]" caption="Over Target Processing Time" measure="1" displayFolder="" measureGroup="Lab_Data" count="0" oneField="1">
      <fieldsUsage count="1">
        <fieldUsage x="4"/>
      </fieldsUsage>
    </cacheHierarchy>
    <cacheHierarchy uniqueName="[Measures].[Target Processing Time]" caption="Target Processing Time" measure="1" displayFolder="" measureGroup="Lab_Data" count="0" oneField="1">
      <fieldsUsage count="1">
        <fieldUsage x="3"/>
      </fieldsUsage>
    </cacheHierarchy>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ies>
  <kpis count="0"/>
  <dimensions count="3">
    <dimension name="Lab_Data" uniqueName="[Lab_Data]" caption="Lab_Data"/>
    <dimension name="Machine_SLA" uniqueName="[Machine_SLA]" caption="Machine_SLA"/>
    <dimension measure="1" name="Measures" uniqueName="[Measures]" caption="Measures"/>
  </dimensions>
  <measureGroups count="2">
    <measureGroup name="Lab_Data" caption="Lab_Data"/>
    <measureGroup name="Machine_SLA" caption="Machine_SL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32942939815" backgroundQuery="1" createdVersion="8" refreshedVersion="8" minRefreshableVersion="3" recordCount="0" supportSubquery="1" supportAdvancedDrill="1" xr:uid="{3AFDC9C6-09A2-4CE7-9629-4AFA858DCF1A}">
  <cacheSource type="external" connectionId="2"/>
  <cacheFields count="4">
    <cacheField name="[Lab_Data].[Latency Severity].[Latency Severity]" caption="Latency Severity" numFmtId="0" hierarchy="4" level="1">
      <sharedItems count="3">
        <s v="Critical"/>
        <s v="Delayed Sync"/>
        <s v="Normal"/>
      </sharedItems>
    </cacheField>
    <cacheField name="[Lab_Data].[Data Quality Flag].[Data Quality Flag]" caption="Data Quality Flag" numFmtId="0" hierarchy="6" level="1">
      <sharedItems count="2">
        <s v="Critical Error"/>
        <s v="Valid"/>
      </sharedItems>
    </cacheField>
    <cacheField name="[Measures].[Sample Count]" caption="Sample Count" numFmtId="0" hierarchy="21" level="32767"/>
    <cacheField name="[Lab_Data].[Analyzer Module].[Analyzer Module]" caption="Analyzer Module" numFmtId="0" hierarchy="1" level="1">
      <sharedItems containsSemiMixedTypes="0" containsNonDate="0" containsString="0"/>
    </cacheField>
  </cacheFields>
  <cacheHierarchies count="47">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2" memberValueDatatype="130" unbalanced="0">
      <fieldsUsage count="2">
        <fieldUsage x="-1"/>
        <fieldUsage x="3"/>
      </fieldsUsage>
    </cacheHierarchy>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2" memberValueDatatype="130" unbalanced="0">
      <fieldsUsage count="2">
        <fieldUsage x="-1"/>
        <fieldUsage x="0"/>
      </fieldsUsage>
    </cacheHierarchy>
    <cacheHierarchy uniqueName="[Lab_Data].[Test Profile]" caption="Test Profile" attribute="1" defaultMemberUniqueName="[Lab_Data].[Test Profile].[All]" allUniqueName="[Lab_Data].[Test Profile].[All]" dimensionUniqueName="[Lab_Data]" displayFolder="" count="0" memberValueDatatype="130" unbalanced="0"/>
    <cacheHierarchy uniqueName="[Lab_Data].[Data Quality Flag]" caption="Data Quality Flag" attribute="1" defaultMemberUniqueName="[Lab_Data].[Data Quality Flag].[All]" allUniqueName="[Lab_Data].[Data Quality Flag].[All]" dimensionUniqueName="[Lab_Data]" displayFolder="" count="2" memberValueDatatype="130" unbalanced="0">
      <fieldsUsage count="2">
        <fieldUsage x="-1"/>
        <fieldUsage x="1"/>
      </fieldsUsage>
    </cacheHierarchy>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0" memberValueDatatype="130" unbalanced="0"/>
    <cacheHierarchy uniqueName="[Machine_SLA].[Analyzer Module]" caption="Analyzer Module" attribute="1" defaultMemberUniqueName="[Machine_SLA].[Analyzer Module].[All]" allUniqueName="[Machine_SLA].[Analyzer Module].[All]" dimensionUniqueName="[Machine_SLA]" displayFolder="" count="0" memberValueDatatype="130" unbalanced="0"/>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oneField="1">
      <fieldsUsage count="1">
        <fieldUsage x="2"/>
      </fieldsUsage>
    </cacheHierarchy>
    <cacheHierarchy uniqueName="[Measures].[Total Processing Time (Min)]" caption="Total Processing Time (Min)" measure="1" displayFolder="" measureGroup="Lab_Data" count="0"/>
    <cacheHierarchy uniqueName="[Measures].[Valid Test Count]" caption="Valid Test Count" measure="1" displayFolder="" measureGroup="Lab_Data" count="0"/>
    <cacheHierarchy uniqueName="[Measures].[Analytical Success Rate]" caption="Analytical Success Rate" measure="1" displayFolder="" measureGroup="Lab_Data" count="0"/>
    <cacheHierarchy uniqueName="[Measures].[Delivered to EHR Count]" caption="Delivered to EHR Count" measure="1" displayFolder="" measureGroup="Lab_Data" count="0"/>
    <cacheHierarchy uniqueName="[Measures].[Delivered to EHR Rate]" caption="Delivered to EHR Rate" measure="1" displayFolder="" measureGroup="Lab_Data" count="0"/>
    <cacheHierarchy uniqueName="[Measures].[Analytical Failure Rate]" caption="Analytical Failure Rate" measure="1" displayFolder="" measureGroup="Lab_Data" count="0"/>
    <cacheHierarchy uniqueName="[Measures].[Invalid Test Count]" caption="Invalid Test Count" measure="1" displayFolder="" measureGroup="Lab_Data" count="0"/>
    <cacheHierarchy uniqueName="[Measures].[Undelivered to EHR Count]" caption="Undelivered to EHR Count" measure="1" displayFolder="" measureGroup="Lab_Data" count="0"/>
    <cacheHierarchy uniqueName="[Measures].[Undelivered to EHR Rate]" caption="Undelivered to EHR Rate" measure="1" displayFolder="" measureGroup="Lab_Data" count="0"/>
    <cacheHierarchy uniqueName="[Measures].[Average Processing Time (Min)]" caption="Average Processing Time (Min)" measure="1" displayFolder="" measureGroup="Lab_Data" count="0"/>
    <cacheHierarchy uniqueName="[Measures].[Average Integration Latency (Min)]" caption="Average Integration Latency (Min)" measure="1" displayFolder="" measureGroup="Lab_Data" count="0"/>
    <cacheHierarchy uniqueName="[Measures].[Valid Test Critical Latency Count]" caption="Valid Test Critical Latency Count" measure="1" displayFolder="" measureGroup="Lab_Data" count="0"/>
    <cacheHierarchy uniqueName="[Measures].[Valid Test Delayed Sync Latency Count]" caption="Valid Test Delayed Sync Latency Count" measure="1" displayFolder="" measureGroup="Lab_Data" count="0"/>
    <cacheHierarchy uniqueName="[Measures].[Avg Invalid Run Duration (Min)]" caption="Avg Invalid Run Duration (Min)" measure="1" displayFolder="" measureGroup="Lab_Data" count="0"/>
    <cacheHierarchy uniqueName="[Measures].[Avg Invalid Integration Latency (Min)]" caption="Avg Invalid Integration Latency (Min)" measure="1" displayFolder="" measureGroup="Lab_Data" count="0"/>
    <cacheHierarchy uniqueName="[Measures].[Tests Over Latency SLA  ]" caption="Tests Over Latency SLA  " measure="1" displayFolder="" measureGroup="Lab_Data" count="0"/>
    <cacheHierarchy uniqueName="[Measures].[Test Under Latency SLA]" caption="Test Under Latency SLA" measure="1" displayFolder="" measureGroup="Lab_Data" count="0"/>
    <cacheHierarchy uniqueName="[Measures].[Tests Over Latency SLA Rate]" caption="Tests Over Latency SLA Rate" measure="1" displayFolder="" measureGroup="Lab_Data" count="0"/>
    <cacheHierarchy uniqueName="[Measures].[Tests Under Latency SLA Rate]" caption="Tests Under Latency SLA Rate" measure="1" displayFolder="" measureGroup="Lab_Data" count="0"/>
    <cacheHierarchy uniqueName="[Measures].[Under Target Processing Time]" caption="Under Target Processing Time" measure="1" displayFolder="" measureGroup="Lab_Data" count="0"/>
    <cacheHierarchy uniqueName="[Measures].[Over Target Processing Time]" caption="Over Target Processing Time" measure="1" displayFolder="" measureGroup="Lab_Data" count="0"/>
    <cacheHierarchy uniqueName="[Measures].[Target Processing Time]" caption="Target Processing Time" measure="1" displayFolder="" measureGroup="Lab_Data" count="0"/>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ies>
  <kpis count="0"/>
  <dimensions count="3">
    <dimension name="Lab_Data" uniqueName="[Lab_Data]" caption="Lab_Data"/>
    <dimension name="Machine_SLA" uniqueName="[Machine_SLA]" caption="Machine_SLA"/>
    <dimension measure="1" name="Measures" uniqueName="[Measures]" caption="Measures"/>
  </dimensions>
  <measureGroups count="2">
    <measureGroup name="Lab_Data" caption="Lab_Data"/>
    <measureGroup name="Machine_SLA" caption="Machine_SL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32943402776" backgroundQuery="1" createdVersion="8" refreshedVersion="8" minRefreshableVersion="3" recordCount="0" supportSubquery="1" supportAdvancedDrill="1" xr:uid="{F044FC7C-5E0C-471B-8498-5073B3CC01B7}">
  <cacheSource type="external" connectionId="2"/>
  <cacheFields count="3">
    <cacheField name="[Lab_Data].[Analyzer Module].[Analyzer Module]" caption="Analyzer Module" numFmtId="0" hierarchy="1" level="1">
      <sharedItems count="1">
        <s v="Abbott Alinity"/>
      </sharedItems>
    </cacheField>
    <cacheField name="[Measures].[Sample Count]" caption="Sample Count" numFmtId="0" hierarchy="21" level="32767"/>
    <cacheField name="[Lab_Data].[Data Quality Flag].[Data Quality Flag]" caption="Data Quality Flag" numFmtId="0" hierarchy="6" level="1">
      <sharedItems count="2">
        <s v="Critical Error"/>
        <s v="Valid"/>
      </sharedItems>
    </cacheField>
  </cacheFields>
  <cacheHierarchies count="47">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2" memberValueDatatype="130" unbalanced="0">
      <fieldsUsage count="2">
        <fieldUsage x="-1"/>
        <fieldUsage x="0"/>
      </fieldsUsage>
    </cacheHierarchy>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0" memberValueDatatype="130" unbalanced="0"/>
    <cacheHierarchy uniqueName="[Lab_Data].[Test Profile]" caption="Test Profile" attribute="1" defaultMemberUniqueName="[Lab_Data].[Test Profile].[All]" allUniqueName="[Lab_Data].[Test Profile].[All]" dimensionUniqueName="[Lab_Data]" displayFolder="" count="0" memberValueDatatype="130" unbalanced="0"/>
    <cacheHierarchy uniqueName="[Lab_Data].[Data Quality Flag]" caption="Data Quality Flag" attribute="1" defaultMemberUniqueName="[Lab_Data].[Data Quality Flag].[All]" allUniqueName="[Lab_Data].[Data Quality Flag].[All]" dimensionUniqueName="[Lab_Data]" displayFolder="" count="2" memberValueDatatype="130" unbalanced="0">
      <fieldsUsage count="2">
        <fieldUsage x="-1"/>
        <fieldUsage x="2"/>
      </fieldsUsage>
    </cacheHierarchy>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0" memberValueDatatype="130" unbalanced="0"/>
    <cacheHierarchy uniqueName="[Machine_SLA].[Analyzer Module]" caption="Analyzer Module" attribute="1" defaultMemberUniqueName="[Machine_SLA].[Analyzer Module].[All]" allUniqueName="[Machine_SLA].[Analyzer Module].[All]" dimensionUniqueName="[Machine_SLA]" displayFolder="" count="0" memberValueDatatype="130" unbalanced="0"/>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oneField="1">
      <fieldsUsage count="1">
        <fieldUsage x="1"/>
      </fieldsUsage>
    </cacheHierarchy>
    <cacheHierarchy uniqueName="[Measures].[Total Processing Time (Min)]" caption="Total Processing Time (Min)" measure="1" displayFolder="" measureGroup="Lab_Data" count="0"/>
    <cacheHierarchy uniqueName="[Measures].[Valid Test Count]" caption="Valid Test Count" measure="1" displayFolder="" measureGroup="Lab_Data" count="0"/>
    <cacheHierarchy uniqueName="[Measures].[Analytical Success Rate]" caption="Analytical Success Rate" measure="1" displayFolder="" measureGroup="Lab_Data" count="0"/>
    <cacheHierarchy uniqueName="[Measures].[Delivered to EHR Count]" caption="Delivered to EHR Count" measure="1" displayFolder="" measureGroup="Lab_Data" count="0"/>
    <cacheHierarchy uniqueName="[Measures].[Delivered to EHR Rate]" caption="Delivered to EHR Rate" measure="1" displayFolder="" measureGroup="Lab_Data" count="0"/>
    <cacheHierarchy uniqueName="[Measures].[Analytical Failure Rate]" caption="Analytical Failure Rate" measure="1" displayFolder="" measureGroup="Lab_Data" count="0"/>
    <cacheHierarchy uniqueName="[Measures].[Invalid Test Count]" caption="Invalid Test Count" measure="1" displayFolder="" measureGroup="Lab_Data" count="0"/>
    <cacheHierarchy uniqueName="[Measures].[Undelivered to EHR Count]" caption="Undelivered to EHR Count" measure="1" displayFolder="" measureGroup="Lab_Data" count="0"/>
    <cacheHierarchy uniqueName="[Measures].[Undelivered to EHR Rate]" caption="Undelivered to EHR Rate" measure="1" displayFolder="" measureGroup="Lab_Data" count="0"/>
    <cacheHierarchy uniqueName="[Measures].[Average Processing Time (Min)]" caption="Average Processing Time (Min)" measure="1" displayFolder="" measureGroup="Lab_Data" count="0"/>
    <cacheHierarchy uniqueName="[Measures].[Average Integration Latency (Min)]" caption="Average Integration Latency (Min)" measure="1" displayFolder="" measureGroup="Lab_Data" count="0"/>
    <cacheHierarchy uniqueName="[Measures].[Valid Test Critical Latency Count]" caption="Valid Test Critical Latency Count" measure="1" displayFolder="" measureGroup="Lab_Data" count="0"/>
    <cacheHierarchy uniqueName="[Measures].[Valid Test Delayed Sync Latency Count]" caption="Valid Test Delayed Sync Latency Count" measure="1" displayFolder="" measureGroup="Lab_Data" count="0"/>
    <cacheHierarchy uniqueName="[Measures].[Avg Invalid Run Duration (Min)]" caption="Avg Invalid Run Duration (Min)" measure="1" displayFolder="" measureGroup="Lab_Data" count="0"/>
    <cacheHierarchy uniqueName="[Measures].[Avg Invalid Integration Latency (Min)]" caption="Avg Invalid Integration Latency (Min)" measure="1" displayFolder="" measureGroup="Lab_Data" count="0"/>
    <cacheHierarchy uniqueName="[Measures].[Tests Over Latency SLA  ]" caption="Tests Over Latency SLA  " measure="1" displayFolder="" measureGroup="Lab_Data" count="0"/>
    <cacheHierarchy uniqueName="[Measures].[Test Under Latency SLA]" caption="Test Under Latency SLA" measure="1" displayFolder="" measureGroup="Lab_Data" count="0"/>
    <cacheHierarchy uniqueName="[Measures].[Tests Over Latency SLA Rate]" caption="Tests Over Latency SLA Rate" measure="1" displayFolder="" measureGroup="Lab_Data" count="0"/>
    <cacheHierarchy uniqueName="[Measures].[Tests Under Latency SLA Rate]" caption="Tests Under Latency SLA Rate" measure="1" displayFolder="" measureGroup="Lab_Data" count="0"/>
    <cacheHierarchy uniqueName="[Measures].[Under Target Processing Time]" caption="Under Target Processing Time" measure="1" displayFolder="" measureGroup="Lab_Data" count="0"/>
    <cacheHierarchy uniqueName="[Measures].[Over Target Processing Time]" caption="Over Target Processing Time" measure="1" displayFolder="" measureGroup="Lab_Data" count="0"/>
    <cacheHierarchy uniqueName="[Measures].[Target Processing Time]" caption="Target Processing Time" measure="1" displayFolder="" measureGroup="Lab_Data" count="0"/>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ies>
  <kpis count="0"/>
  <dimensions count="3">
    <dimension name="Lab_Data" uniqueName="[Lab_Data]" caption="Lab_Data"/>
    <dimension name="Machine_SLA" uniqueName="[Machine_SLA]" caption="Machine_SLA"/>
    <dimension measure="1" name="Measures" uniqueName="[Measures]" caption="Measures"/>
  </dimensions>
  <measureGroups count="2">
    <measureGroup name="Lab_Data" caption="Lab_Data"/>
    <measureGroup name="Machine_SLA" caption="Machine_SL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3294375" backgroundQuery="1" createdVersion="8" refreshedVersion="8" minRefreshableVersion="3" recordCount="0" supportSubquery="1" supportAdvancedDrill="1" xr:uid="{1749EA41-CBB2-4E47-A2FE-B00533CDE9FE}">
  <cacheSource type="external" connectionId="2"/>
  <cacheFields count="3">
    <cacheField name="[Lab_Data].[Analyzer Module].[Analyzer Module]" caption="Analyzer Module" numFmtId="0" hierarchy="1" level="1">
      <sharedItems count="2">
        <s v="Abbott Alinity"/>
        <s v="Beckman Coulter" u="1"/>
      </sharedItems>
    </cacheField>
    <cacheField name="[Lab_Data].[Test Profile].[Test Profile]" caption="Test Profile" numFmtId="0" hierarchy="5" level="1">
      <sharedItems count="4">
        <s v="Complete Blood Count"/>
        <s v="Comprehensive Metabolic"/>
        <s v="Lipid Panel"/>
        <s v="Thyroid Panel"/>
      </sharedItems>
    </cacheField>
    <cacheField name="[Measures].[Sample Count]" caption="Sample Count" numFmtId="0" hierarchy="21" level="32767"/>
  </cacheFields>
  <cacheHierarchies count="47">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2" memberValueDatatype="130" unbalanced="0">
      <fieldsUsage count="2">
        <fieldUsage x="-1"/>
        <fieldUsage x="0"/>
      </fieldsUsage>
    </cacheHierarchy>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0" memberValueDatatype="130" unbalanced="0"/>
    <cacheHierarchy uniqueName="[Lab_Data].[Test Profile]" caption="Test Profile" attribute="1" defaultMemberUniqueName="[Lab_Data].[Test Profile].[All]" allUniqueName="[Lab_Data].[Test Profile].[All]" dimensionUniqueName="[Lab_Data]" displayFolder="" count="2" memberValueDatatype="130" unbalanced="0">
      <fieldsUsage count="2">
        <fieldUsage x="-1"/>
        <fieldUsage x="1"/>
      </fieldsUsage>
    </cacheHierarchy>
    <cacheHierarchy uniqueName="[Lab_Data].[Data Quality Flag]" caption="Data Quality Flag" attribute="1" defaultMemberUniqueName="[Lab_Data].[Data Quality Flag].[All]" allUniqueName="[Lab_Data].[Data Quality Flag].[All]" dimensionUniqueName="[Lab_Data]" displayFolder="" count="0" memberValueDatatype="130" unbalanced="0"/>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0" memberValueDatatype="130" unbalanced="0"/>
    <cacheHierarchy uniqueName="[Machine_SLA].[Analyzer Module]" caption="Analyzer Module" attribute="1" defaultMemberUniqueName="[Machine_SLA].[Analyzer Module].[All]" allUniqueName="[Machine_SLA].[Analyzer Module].[All]" dimensionUniqueName="[Machine_SLA]" displayFolder="" count="0" memberValueDatatype="130" unbalanced="0"/>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oneField="1">
      <fieldsUsage count="1">
        <fieldUsage x="2"/>
      </fieldsUsage>
    </cacheHierarchy>
    <cacheHierarchy uniqueName="[Measures].[Total Processing Time (Min)]" caption="Total Processing Time (Min)" measure="1" displayFolder="" measureGroup="Lab_Data" count="0"/>
    <cacheHierarchy uniqueName="[Measures].[Valid Test Count]" caption="Valid Test Count" measure="1" displayFolder="" measureGroup="Lab_Data" count="0"/>
    <cacheHierarchy uniqueName="[Measures].[Analytical Success Rate]" caption="Analytical Success Rate" measure="1" displayFolder="" measureGroup="Lab_Data" count="0"/>
    <cacheHierarchy uniqueName="[Measures].[Delivered to EHR Count]" caption="Delivered to EHR Count" measure="1" displayFolder="" measureGroup="Lab_Data" count="0"/>
    <cacheHierarchy uniqueName="[Measures].[Delivered to EHR Rate]" caption="Delivered to EHR Rate" measure="1" displayFolder="" measureGroup="Lab_Data" count="0"/>
    <cacheHierarchy uniqueName="[Measures].[Analytical Failure Rate]" caption="Analytical Failure Rate" measure="1" displayFolder="" measureGroup="Lab_Data" count="0"/>
    <cacheHierarchy uniqueName="[Measures].[Invalid Test Count]" caption="Invalid Test Count" measure="1" displayFolder="" measureGroup="Lab_Data" count="0"/>
    <cacheHierarchy uniqueName="[Measures].[Undelivered to EHR Count]" caption="Undelivered to EHR Count" measure="1" displayFolder="" measureGroup="Lab_Data" count="0"/>
    <cacheHierarchy uniqueName="[Measures].[Undelivered to EHR Rate]" caption="Undelivered to EHR Rate" measure="1" displayFolder="" measureGroup="Lab_Data" count="0"/>
    <cacheHierarchy uniqueName="[Measures].[Average Processing Time (Min)]" caption="Average Processing Time (Min)" measure="1" displayFolder="" measureGroup="Lab_Data" count="0"/>
    <cacheHierarchy uniqueName="[Measures].[Average Integration Latency (Min)]" caption="Average Integration Latency (Min)" measure="1" displayFolder="" measureGroup="Lab_Data" count="0"/>
    <cacheHierarchy uniqueName="[Measures].[Valid Test Critical Latency Count]" caption="Valid Test Critical Latency Count" measure="1" displayFolder="" measureGroup="Lab_Data" count="0"/>
    <cacheHierarchy uniqueName="[Measures].[Valid Test Delayed Sync Latency Count]" caption="Valid Test Delayed Sync Latency Count" measure="1" displayFolder="" measureGroup="Lab_Data" count="0"/>
    <cacheHierarchy uniqueName="[Measures].[Avg Invalid Run Duration (Min)]" caption="Avg Invalid Run Duration (Min)" measure="1" displayFolder="" measureGroup="Lab_Data" count="0"/>
    <cacheHierarchy uniqueName="[Measures].[Avg Invalid Integration Latency (Min)]" caption="Avg Invalid Integration Latency (Min)" measure="1" displayFolder="" measureGroup="Lab_Data" count="0"/>
    <cacheHierarchy uniqueName="[Measures].[Tests Over Latency SLA  ]" caption="Tests Over Latency SLA  " measure="1" displayFolder="" measureGroup="Lab_Data" count="0"/>
    <cacheHierarchy uniqueName="[Measures].[Test Under Latency SLA]" caption="Test Under Latency SLA" measure="1" displayFolder="" measureGroup="Lab_Data" count="0"/>
    <cacheHierarchy uniqueName="[Measures].[Tests Over Latency SLA Rate]" caption="Tests Over Latency SLA Rate" measure="1" displayFolder="" measureGroup="Lab_Data" count="0"/>
    <cacheHierarchy uniqueName="[Measures].[Tests Under Latency SLA Rate]" caption="Tests Under Latency SLA Rate" measure="1" displayFolder="" measureGroup="Lab_Data" count="0"/>
    <cacheHierarchy uniqueName="[Measures].[Under Target Processing Time]" caption="Under Target Processing Time" measure="1" displayFolder="" measureGroup="Lab_Data" count="0"/>
    <cacheHierarchy uniqueName="[Measures].[Over Target Processing Time]" caption="Over Target Processing Time" measure="1" displayFolder="" measureGroup="Lab_Data" count="0"/>
    <cacheHierarchy uniqueName="[Measures].[Target Processing Time]" caption="Target Processing Time" measure="1" displayFolder="" measureGroup="Lab_Data" count="0"/>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ies>
  <kpis count="0"/>
  <dimensions count="3">
    <dimension name="Lab_Data" uniqueName="[Lab_Data]" caption="Lab_Data"/>
    <dimension name="Machine_SLA" uniqueName="[Machine_SLA]" caption="Machine_SLA"/>
    <dimension measure="1" name="Measures" uniqueName="[Measures]" caption="Measures"/>
  </dimensions>
  <measureGroups count="2">
    <measureGroup name="Lab_Data" caption="Lab_Data"/>
    <measureGroup name="Machine_SLA" caption="Machine_SLA"/>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jandra Badia" refreshedDate="46206.820570023148" backgroundQuery="1" createdVersion="3" refreshedVersion="8" minRefreshableVersion="3" recordCount="0" supportSubquery="1" supportAdvancedDrill="1" xr:uid="{534BD4AB-0DC3-4355-9BF2-0280950B1610}">
  <cacheSource type="external" connectionId="2">
    <extLst>
      <ext xmlns:x14="http://schemas.microsoft.com/office/spreadsheetml/2009/9/main" uri="{F057638F-6D5F-4e77-A914-E7F072B9BCA8}">
        <x14:sourceConnection name="ThisWorkbookDataModel"/>
      </ext>
    </extLst>
  </cacheSource>
  <cacheFields count="0"/>
  <cacheHierarchies count="47">
    <cacheHierarchy uniqueName="[Lab_Data].[Sample ID]" caption="Sample ID" attribute="1" defaultMemberUniqueName="[Lab_Data].[Sample ID].[All]" allUniqueName="[Lab_Data].[Sample ID].[All]" dimensionUniqueName="[Lab_Data]" displayFolder="" count="0" memberValueDatatype="130" unbalanced="0"/>
    <cacheHierarchy uniqueName="[Lab_Data].[Analyzer Module]" caption="Analyzer Module" attribute="1" defaultMemberUniqueName="[Lab_Data].[Analyzer Module].[All]" allUniqueName="[Lab_Data].[Analyzer Module].[All]" dimensionUniqueName="[Lab_Data]" displayFolder="" count="2" memberValueDatatype="130" unbalanced="0"/>
    <cacheHierarchy uniqueName="[Lab_Data].[Processing Time (Min)]" caption="Processing Time (Min)" attribute="1" defaultMemberUniqueName="[Lab_Data].[Processing Time (Min)].[All]" allUniqueName="[Lab_Data].[Processing Time (Min)].[All]" dimensionUniqueName="[Lab_Data]" displayFolder="" count="0" memberValueDatatype="20" unbalanced="0"/>
    <cacheHierarchy uniqueName="[Lab_Data].[Integration Latency (Min)]" caption="Integration Latency (Min)" attribute="1" defaultMemberUniqueName="[Lab_Data].[Integration Latency (Min)].[All]" allUniqueName="[Lab_Data].[Integration Latency (Min)].[All]" dimensionUniqueName="[Lab_Data]" displayFolder="" count="0" memberValueDatatype="20" unbalanced="0"/>
    <cacheHierarchy uniqueName="[Lab_Data].[Latency Severity]" caption="Latency Severity" attribute="1" defaultMemberUniqueName="[Lab_Data].[Latency Severity].[All]" allUniqueName="[Lab_Data].[Latency Severity].[All]" dimensionUniqueName="[Lab_Data]" displayFolder="" count="0" memberValueDatatype="130" unbalanced="0"/>
    <cacheHierarchy uniqueName="[Lab_Data].[Test Profile]" caption="Test Profile" attribute="1" defaultMemberUniqueName="[Lab_Data].[Test Profile].[All]" allUniqueName="[Lab_Data].[Test Profile].[All]" dimensionUniqueName="[Lab_Data]" displayFolder="" count="0" memberValueDatatype="130" unbalanced="0"/>
    <cacheHierarchy uniqueName="[Lab_Data].[Data Quality Flag]" caption="Data Quality Flag" attribute="1" defaultMemberUniqueName="[Lab_Data].[Data Quality Flag].[All]" allUniqueName="[Lab_Data].[Data Quality Flag].[All]" dimensionUniqueName="[Lab_Data]" displayFolder="" count="0" memberValueDatatype="130" unbalanced="0"/>
    <cacheHierarchy uniqueName="[Lab_Data].[Verified To EHR]" caption="Verified To EHR" attribute="1" defaultMemberUniqueName="[Lab_Data].[Verified To EHR].[All]" allUniqueName="[Lab_Data].[Verified To EHR].[All]" dimensionUniqueName="[Lab_Data]" displayFolder="" count="0" memberValueDatatype="130" unbalanced="0"/>
    <cacheHierarchy uniqueName="[Lab_Data].[Verified &amp; Quality Flag Cross-Check]" caption="Verified &amp; Quality Flag Cross-Check" attribute="1" defaultMemberUniqueName="[Lab_Data].[Verified &amp; Quality Flag Cross-Check].[All]" allUniqueName="[Lab_Data].[Verified &amp; Quality Flag Cross-Check].[All]" dimensionUniqueName="[Lab_Data]" displayFolder="" count="0" memberValueDatatype="130" unbalanced="0"/>
    <cacheHierarchy uniqueName="[Lab_Data].[Transaction_Date]" caption="Transaction_Date" attribute="1" time="1" defaultMemberUniqueName="[Lab_Data].[Transaction_Date].[All]" allUniqueName="[Lab_Data].[Transaction_Date].[All]" dimensionUniqueName="[Lab_Data]" displayFolder="" count="0" memberValueDatatype="7" unbalanced="0"/>
    <cacheHierarchy uniqueName="[Lab_Data].[Day of Week]" caption="Day of Week" attribute="1" defaultMemberUniqueName="[Lab_Data].[Day of Week].[All]" allUniqueName="[Lab_Data].[Day of Week].[All]" dimensionUniqueName="[Lab_Data]" displayFolder="" count="0" memberValueDatatype="130" unbalanced="0"/>
    <cacheHierarchy uniqueName="[Machine_SLA].[Analyzer Module]" caption="Analyzer Module" attribute="1" defaultMemberUniqueName="[Machine_SLA].[Analyzer Module].[All]" allUniqueName="[Machine_SLA].[Analyzer Module].[All]" dimensionUniqueName="[Machine_SLA]" displayFolder="" count="0" memberValueDatatype="130" unbalanced="0"/>
    <cacheHierarchy uniqueName="[Machine_SLA].[Target Processing Time]" caption="Target Processing Time" attribute="1" defaultMemberUniqueName="[Machine_SLA].[Target Processing Time].[All]" allUniqueName="[Machine_SLA].[Target Processing Time].[All]" dimensionUniqueName="[Machine_SLA]" displayFolder="" count="0" memberValueDatatype="20" unbalanced="0"/>
    <cacheHierarchy uniqueName="[Machine_SLA].[Hardware Version]" caption="Hardware Version" attribute="1" defaultMemberUniqueName="[Machine_SLA].[Hardware Version].[All]" allUniqueName="[Machine_SLA].[Hardware Version].[All]" dimensionUniqueName="[Machine_SLA]" displayFolder="" count="0" memberValueDatatype="130" unbalanced="0"/>
    <cacheHierarchy uniqueName="[Machine_SLA].[Support Vendor]" caption="Support Vendor" attribute="1" defaultMemberUniqueName="[Machine_SLA].[Support Vendor].[All]" allUniqueName="[Machine_SLA].[Support Vendor].[All]" dimensionUniqueName="[Machine_SLA]" displayFolder="" count="0" memberValueDatatype="130" unbalanced="0"/>
    <cacheHierarchy uniqueName="[Measures].[Count of Test Profile]" caption="Count of Test Profile" measure="1" displayFolder="" measureGroup="Lab_Data" count="0">
      <extLst>
        <ext xmlns:x15="http://schemas.microsoft.com/office/spreadsheetml/2010/11/main" uri="{B97F6D7D-B522-45F9-BDA1-12C45D357490}">
          <x15:cacheHierarchy aggregatedColumn="5"/>
        </ext>
      </extLst>
    </cacheHierarchy>
    <cacheHierarchy uniqueName="[Measures].[Count of Sample ID]" caption="Count of Sample ID" measure="1" displayFolder="" measureGroup="Lab_Data" count="0">
      <extLst>
        <ext xmlns:x15="http://schemas.microsoft.com/office/spreadsheetml/2010/11/main" uri="{B97F6D7D-B522-45F9-BDA1-12C45D357490}">
          <x15:cacheHierarchy aggregatedColumn="0"/>
        </ext>
      </extLst>
    </cacheHierarchy>
    <cacheHierarchy uniqueName="[Measures].[Sum of Processing Time (Min)]" caption="Sum of Processing Time (Min)" measure="1" displayFolder="" measureGroup="Lab_Data" count="0">
      <extLst>
        <ext xmlns:x15="http://schemas.microsoft.com/office/spreadsheetml/2010/11/main" uri="{B97F6D7D-B522-45F9-BDA1-12C45D357490}">
          <x15:cacheHierarchy aggregatedColumn="2"/>
        </ext>
      </extLst>
    </cacheHierarchy>
    <cacheHierarchy uniqueName="[Measures].[Average of Processing Time (Min)]" caption="Average of Processing Time (Min)" measure="1" displayFolder="" measureGroup="Lab_Data" count="0">
      <extLst>
        <ext xmlns:x15="http://schemas.microsoft.com/office/spreadsheetml/2010/11/main" uri="{B97F6D7D-B522-45F9-BDA1-12C45D357490}">
          <x15:cacheHierarchy aggregatedColumn="2"/>
        </ext>
      </extLst>
    </cacheHierarchy>
    <cacheHierarchy uniqueName="[Measures].[Sum of Target Processing Time]" caption="Sum of Target Processing Time" measure="1" displayFolder="" measureGroup="Machine_SLA" count="0">
      <extLst>
        <ext xmlns:x15="http://schemas.microsoft.com/office/spreadsheetml/2010/11/main" uri="{B97F6D7D-B522-45F9-BDA1-12C45D357490}">
          <x15:cacheHierarchy aggregatedColumn="12"/>
        </ext>
      </extLst>
    </cacheHierarchy>
    <cacheHierarchy uniqueName="[Measures].[Sum of Integration Latency (Min)]" caption="Sum of Integration Latency (Min)" measure="1" displayFolder="" measureGroup="Lab_Data" count="0">
      <extLst>
        <ext xmlns:x15="http://schemas.microsoft.com/office/spreadsheetml/2010/11/main" uri="{B97F6D7D-B522-45F9-BDA1-12C45D357490}">
          <x15:cacheHierarchy aggregatedColumn="3"/>
        </ext>
      </extLst>
    </cacheHierarchy>
    <cacheHierarchy uniqueName="[Measures].[Sample Count]" caption="Sample Count" measure="1" displayFolder="" measureGroup="Lab_Data" count="0"/>
    <cacheHierarchy uniqueName="[Measures].[Total Processing Time (Min)]" caption="Total Processing Time (Min)" measure="1" displayFolder="" measureGroup="Lab_Data" count="0"/>
    <cacheHierarchy uniqueName="[Measures].[Valid Test Count]" caption="Valid Test Count" measure="1" displayFolder="" measureGroup="Lab_Data" count="0"/>
    <cacheHierarchy uniqueName="[Measures].[Analytical Success Rate]" caption="Analytical Success Rate" measure="1" displayFolder="" measureGroup="Lab_Data" count="0"/>
    <cacheHierarchy uniqueName="[Measures].[Delivered to EHR Count]" caption="Delivered to EHR Count" measure="1" displayFolder="" measureGroup="Lab_Data" count="0"/>
    <cacheHierarchy uniqueName="[Measures].[Delivered to EHR Rate]" caption="Delivered to EHR Rate" measure="1" displayFolder="" measureGroup="Lab_Data" count="0"/>
    <cacheHierarchy uniqueName="[Measures].[Analytical Failure Rate]" caption="Analytical Failure Rate" measure="1" displayFolder="" measureGroup="Lab_Data" count="0"/>
    <cacheHierarchy uniqueName="[Measures].[Invalid Test Count]" caption="Invalid Test Count" measure="1" displayFolder="" measureGroup="Lab_Data" count="0"/>
    <cacheHierarchy uniqueName="[Measures].[Undelivered to EHR Count]" caption="Undelivered to EHR Count" measure="1" displayFolder="" measureGroup="Lab_Data" count="0"/>
    <cacheHierarchy uniqueName="[Measures].[Undelivered to EHR Rate]" caption="Undelivered to EHR Rate" measure="1" displayFolder="" measureGroup="Lab_Data" count="0"/>
    <cacheHierarchy uniqueName="[Measures].[Average Processing Time (Min)]" caption="Average Processing Time (Min)" measure="1" displayFolder="" measureGroup="Lab_Data" count="0"/>
    <cacheHierarchy uniqueName="[Measures].[Average Integration Latency (Min)]" caption="Average Integration Latency (Min)" measure="1" displayFolder="" measureGroup="Lab_Data" count="0"/>
    <cacheHierarchy uniqueName="[Measures].[Valid Test Critical Latency Count]" caption="Valid Test Critical Latency Count" measure="1" displayFolder="" measureGroup="Lab_Data" count="0"/>
    <cacheHierarchy uniqueName="[Measures].[Valid Test Delayed Sync Latency Count]" caption="Valid Test Delayed Sync Latency Count" measure="1" displayFolder="" measureGroup="Lab_Data" count="0"/>
    <cacheHierarchy uniqueName="[Measures].[Avg Invalid Run Duration (Min)]" caption="Avg Invalid Run Duration (Min)" measure="1" displayFolder="" measureGroup="Lab_Data" count="0"/>
    <cacheHierarchy uniqueName="[Measures].[Avg Invalid Integration Latency (Min)]" caption="Avg Invalid Integration Latency (Min)" measure="1" displayFolder="" measureGroup="Lab_Data" count="0"/>
    <cacheHierarchy uniqueName="[Measures].[Tests Over Latency SLA  ]" caption="Tests Over Latency SLA  " measure="1" displayFolder="" measureGroup="Lab_Data" count="0"/>
    <cacheHierarchy uniqueName="[Measures].[Test Under Latency SLA]" caption="Test Under Latency SLA" measure="1" displayFolder="" measureGroup="Lab_Data" count="0"/>
    <cacheHierarchy uniqueName="[Measures].[Tests Over Latency SLA Rate]" caption="Tests Over Latency SLA Rate" measure="1" displayFolder="" measureGroup="Lab_Data" count="0"/>
    <cacheHierarchy uniqueName="[Measures].[Tests Under Latency SLA Rate]" caption="Tests Under Latency SLA Rate" measure="1" displayFolder="" measureGroup="Lab_Data" count="0"/>
    <cacheHierarchy uniqueName="[Measures].[Under Target Processing Time]" caption="Under Target Processing Time" measure="1" displayFolder="" measureGroup="Lab_Data" count="0"/>
    <cacheHierarchy uniqueName="[Measures].[Over Target Processing Time]" caption="Over Target Processing Time" measure="1" displayFolder="" measureGroup="Lab_Data" count="0"/>
    <cacheHierarchy uniqueName="[Measures].[Target Processing Time]" caption="Target Processing Time" measure="1" displayFolder="" measureGroup="Lab_Data" count="0"/>
    <cacheHierarchy uniqueName="[Measures].[__XL_Count Machine_SLA]" caption="__XL_Count Machine_SLA" measure="1" displayFolder="" measureGroup="Machine_SLA" count="0" hidden="1"/>
    <cacheHierarchy uniqueName="[Measures].[__XL_Count Lab_Data]" caption="__XL_Count Lab_Data" measure="1" displayFolder="" measureGroup="Lab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778284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7AF3A7-B6C1-4062-A5DB-A5BA2544DB8C}" name="KPI Missing and Delivered EHR Rate"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7:C20"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dataField fld="2" subtotal="count" baseField="0" baseItem="0"/>
  </dataFields>
  <pivotHierarchies count="47">
    <pivotHierarchy dragToData="1"/>
    <pivotHierarchy multipleItemSelectionAllowed="1" dragToData="1">
      <members count="1" level="1">
        <member name="[Lab_Data].[Analyzer Module].&amp;[Abbott Alini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EC7875-CF3C-4A90-9A9B-8522D83BF7F1}" name="Chart Test Profiles"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72:F75" firstHeaderRow="1" firstDataRow="2" firstDataCol="1"/>
  <pivotFields count="3">
    <pivotField axis="axisRow" allDrilled="1" subtotalTop="0" showAll="0" dataSourceSort="1" defaultSubtotal="0" defaultAttributeDrillState="1">
      <items count="2">
        <item s="1" x="0"/>
        <item x="1"/>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2">
    <i>
      <x/>
    </i>
    <i t="grand">
      <x/>
    </i>
  </rowItems>
  <colFields count="1">
    <field x="1"/>
  </colFields>
  <colItems count="5">
    <i>
      <x/>
    </i>
    <i>
      <x v="1"/>
    </i>
    <i>
      <x v="2"/>
    </i>
    <i>
      <x v="3"/>
    </i>
    <i t="grand">
      <x/>
    </i>
  </colItems>
  <dataFields count="1">
    <dataField fld="2" subtotal="count" baseField="0" baseItem="0"/>
  </dataFields>
  <chartFormats count="6">
    <chartFormat chart="7" format="8" series="1">
      <pivotArea type="data" outline="0" fieldPosition="0">
        <references count="2">
          <reference field="4294967294" count="1" selected="0">
            <x v="0"/>
          </reference>
          <reference field="1" count="1" selected="0">
            <x v="0"/>
          </reference>
        </references>
      </pivotArea>
    </chartFormat>
    <chartFormat chart="7" format="9" series="1">
      <pivotArea type="data" outline="0" fieldPosition="0">
        <references count="2">
          <reference field="4294967294" count="1" selected="0">
            <x v="0"/>
          </reference>
          <reference field="1" count="1" selected="0">
            <x v="1"/>
          </reference>
        </references>
      </pivotArea>
    </chartFormat>
    <chartFormat chart="7" format="10" series="1">
      <pivotArea type="data" outline="0" fieldPosition="0">
        <references count="2">
          <reference field="4294967294" count="1" selected="0">
            <x v="0"/>
          </reference>
          <reference field="1" count="1" selected="0">
            <x v="2"/>
          </reference>
        </references>
      </pivotArea>
    </chartFormat>
    <chartFormat chart="7" format="11" series="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3">
          <reference field="4294967294" count="1" selected="0">
            <x v="0"/>
          </reference>
          <reference field="0" count="1" selected="0">
            <x v="1"/>
          </reference>
          <reference field="1" count="1" selected="0">
            <x v="2"/>
          </reference>
        </references>
      </pivotArea>
    </chartFormat>
    <chartFormat chart="7" format="13">
      <pivotArea type="data" outline="0" fieldPosition="0">
        <references count="3">
          <reference field="4294967294" count="1" selected="0">
            <x v="0"/>
          </reference>
          <reference field="0" count="1" selected="0">
            <x v="0"/>
          </reference>
          <reference field="1" count="1" selected="0">
            <x v="2"/>
          </reference>
        </references>
      </pivotArea>
    </chartFormat>
  </chartFormats>
  <pivotHierarchies count="4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B82454-5AD1-4432-B559-65671CB233BF}" name="Metrics All Analizers"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P4" firstHeaderRow="0" firstDataRow="1" firstDataCol="0"/>
  <pivotFields count="1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er TAT Diagnostic Tool.xlsx!Lab_Data">
        <x15:activeTabTopLevelEntity name="[Lab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0C5F8E-2154-4492-8D4D-7D7DA537D4AC}" name="Selected Analyzer"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2:A4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4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78DB72-E8DE-49F4-B2E8-4FA35E4E3B17}" name="Chart Latency Breakdown"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48:E52"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0"/>
  </colFields>
  <colItems count="4">
    <i>
      <x/>
    </i>
    <i>
      <x v="1"/>
    </i>
    <i>
      <x v="2"/>
    </i>
    <i t="grand">
      <x/>
    </i>
  </colItems>
  <dataFields count="1">
    <dataField fld="2" subtotal="count" baseField="0" baseItem="0"/>
  </dataFields>
  <pivotHierarchies count="47">
    <pivotHierarchy dragToData="1"/>
    <pivotHierarchy multipleItemSelectionAllowed="1" dragToData="1">
      <members count="1" level="1">
        <member name="[Lab_Data].[Analyzer Module].&amp;[Abbott Alini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B2ACDB-007F-4FD7-94E3-39FE43308AAB}" name="PivotTable2"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E89" firstHeaderRow="1" firstDataRow="2" firstDataCol="1"/>
  <pivotFields count="9">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8">
    <i>
      <x/>
    </i>
    <i i="1">
      <x v="1"/>
    </i>
    <i i="2">
      <x v="2"/>
    </i>
    <i i="3">
      <x v="3"/>
    </i>
    <i i="4">
      <x v="4"/>
    </i>
    <i i="5">
      <x v="5"/>
    </i>
    <i i="6">
      <x v="6"/>
    </i>
    <i i="7">
      <x v="7"/>
    </i>
  </rowItems>
  <colFields count="1">
    <field x="0"/>
  </colFields>
  <colItems count="4">
    <i>
      <x/>
    </i>
    <i>
      <x v="1"/>
    </i>
    <i>
      <x v="2"/>
    </i>
    <i t="grand">
      <x/>
    </i>
  </colItems>
  <dataFields count="8">
    <dataField name="Sum of Processing Time (Min)" fld="1" baseField="0" baseItem="0"/>
    <dataField fld="8" subtotal="count" baseField="0" baseItem="0"/>
    <dataField name="Sum of Integration Latency (Min)" fld="2" baseField="0" baseItem="0"/>
    <dataField fld="5" subtotal="count" baseField="0" baseItem="0"/>
    <dataField fld="6" subtotal="count" baseField="0" baseItem="0"/>
    <dataField fld="7" subtotal="count" baseField="0" baseItem="0"/>
    <dataField fld="3" subtotal="count" baseField="0" baseItem="0"/>
    <dataField fld="4" subtotal="count" baseField="0" baseItem="0"/>
  </dataFields>
  <formats count="2">
    <format dxfId="16">
      <pivotArea collapsedLevelsAreSubtotals="1" fieldPosition="0">
        <references count="1">
          <reference field="4294967294" count="1">
            <x v="0"/>
          </reference>
        </references>
      </pivotArea>
    </format>
    <format dxfId="15">
      <pivotArea collapsedLevelsAreSubtotals="1" fieldPosition="0">
        <references count="1">
          <reference field="4294967294" count="1">
            <x v="2"/>
          </reference>
        </references>
      </pivotArea>
    </format>
  </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042306-76F9-4FB0-83A8-8B3E542926A7}" name="KPI Missing and Delivered EHR Coun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C14"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dataField fld="2" subtotal="count" baseField="0" baseItem="0"/>
  </dataFields>
  <pivotHierarchies count="47">
    <pivotHierarchy dragToData="1"/>
    <pivotHierarchy multipleItemSelectionAllowed="1" dragToData="1">
      <members count="1" level="1">
        <member name="[Lab_Data].[Analyzer Module].&amp;[Abbott Alini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4EE61B-E201-4820-A07B-7B7E3EE8AB91}" name="KPI Over Latency Count"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3:C2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dataField fld="2" subtotal="count" baseField="0" baseItem="0"/>
  </dataFields>
  <pivotHierarchies count="47">
    <pivotHierarchy dragToData="1"/>
    <pivotHierarchy multipleItemSelectionAllowed="1" dragToData="1">
      <members count="1" level="1">
        <member name="[Lab_Data].[Analyzer Module].&amp;[Abbott Alini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7CD5E7-F369-43A0-A7F0-C169442D8B4F}" name="Chart Valid vs. Invalid Sample Count By Analyzer"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64:D67" firstHeaderRow="1" firstDataRow="2" firstDataCol="1"/>
  <pivotFields count="3">
    <pivotField axis="axisRow" allDrilled="1" subtotalTop="0" showAll="0" dataSourceSort="1" defaultSubtotal="0" defaultAttributeDrillState="1">
      <items count="1">
        <item s="1" x="0"/>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2">
    <i>
      <x/>
    </i>
    <i t="grand">
      <x/>
    </i>
  </rowItems>
  <colFields count="1">
    <field x="2"/>
  </colFields>
  <colItems count="3">
    <i>
      <x/>
    </i>
    <i>
      <x v="1"/>
    </i>
    <i t="grand">
      <x/>
    </i>
  </colItems>
  <dataFields count="1">
    <dataField fld="1" subtotal="count" baseField="0" baseItem="0"/>
  </dataFields>
  <chartFormats count="2">
    <chartFormat chart="22" format="8" series="1">
      <pivotArea type="data" outline="0" fieldPosition="0">
        <references count="2">
          <reference field="4294967294" count="1" selected="0">
            <x v="0"/>
          </reference>
          <reference field="2" count="1" selected="0">
            <x v="0"/>
          </reference>
        </references>
      </pivotArea>
    </chartFormat>
    <chartFormat chart="22" format="9" series="1">
      <pivotArea type="data" outline="0" fieldPosition="0">
        <references count="2">
          <reference field="4294967294" count="1" selected="0">
            <x v="0"/>
          </reference>
          <reference field="2" count="1" selected="0">
            <x v="1"/>
          </reference>
        </references>
      </pivotArea>
    </chartFormat>
  </chartFormats>
  <pivotHierarchies count="4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6F4594-2A37-4FB4-9ED4-BD55A2795CA2}" name="Metrics With Analyzer Slicer"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P8" firstHeaderRow="0" firstDataRow="1" firstDataCol="0"/>
  <pivotFields count="1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s>
  <pivotHierarchies count="47">
    <pivotHierarchy dragToData="1"/>
    <pivotHierarchy multipleItemSelectionAllowed="1" dragToData="1">
      <members count="1" level="1">
        <member name="[Lab_Data].[Analyzer Module].&amp;[Abbott Alini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er TAT Diagnostic Tool.xlsx!Lab_Data">
        <x15:activeTabTopLevelEntity name="[Lab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709560-AFFC-42D2-BC34-8B2F38E5CE1D}" name="Chart Processing Time vs Target"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5:E39" firstHeaderRow="0" firstDataRow="1" firstDataCol="1"/>
  <pivotFields count="6">
    <pivotField axis="axisRow" allDrilled="1" subtotalTop="0" showAll="0" defaultSubtotal="0" defaultAttributeDrillState="1">
      <items count="3">
        <item x="1"/>
        <item x="0"/>
        <item x="2"/>
      </items>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4">
    <i>
      <x/>
    </i>
    <i i="1">
      <x v="1"/>
    </i>
    <i i="2">
      <x v="2"/>
    </i>
    <i i="3">
      <x v="3"/>
    </i>
  </colItems>
  <dataFields count="4">
    <dataField fld="3" subtotal="count" baseField="0" baseItem="0"/>
    <dataField fld="5" subtotal="count" baseField="0" baseItem="0"/>
    <dataField fld="2" subtotal="count" baseField="0" baseItem="0"/>
    <dataField fld="4" subtotal="count" baseField="0" baseItem="0"/>
  </dataFields>
  <pivotHierarchies count="47">
    <pivotHierarchy dragToData="1"/>
    <pivotHierarchy multipleItemSelectionAllowed="1" dragToData="1">
      <members count="1" level="1">
        <member name="[Lab_Data].[Analyzer Module].&amp;[Abbott Alini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_Data]"/>
        <x15:activeTabTopLevelEntity name="[Machine_SL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C05D4F-FFE5-4ED7-A817-45B0CF1A0366}" name="Chart Daily Sample Count With Analyzer Slicer"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55:D61" firstHeaderRow="0" firstDataRow="1" firstDataCol="1"/>
  <pivotFields count="5">
    <pivotField dataField="1" subtotalTop="0" showAll="0" defaultSubtotal="0"/>
    <pivotField axis="axisRow" allDrilled="1" subtotalTop="0" showAll="0" sortType="ascending" defaultSubtotal="0" defaultAttributeDrillState="1">
      <items count="5">
        <item x="1"/>
        <item x="3"/>
        <item x="4"/>
        <item x="2"/>
        <item x="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6">
    <i>
      <x/>
    </i>
    <i>
      <x v="1"/>
    </i>
    <i>
      <x v="2"/>
    </i>
    <i>
      <x v="3"/>
    </i>
    <i>
      <x v="4"/>
    </i>
    <i t="grand">
      <x/>
    </i>
  </rowItems>
  <colFields count="1">
    <field x="-2"/>
  </colFields>
  <colItems count="3">
    <i>
      <x/>
    </i>
    <i i="1">
      <x v="1"/>
    </i>
    <i i="2">
      <x v="2"/>
    </i>
  </colItems>
  <dataFields count="3">
    <dataField fld="0" subtotal="count" baseField="0" baseItem="0"/>
    <dataField name="Sample Count2" fld="4" subtotal="count" baseField="0" baseItem="0">
      <extLst>
        <ext xmlns:x14="http://schemas.microsoft.com/office/spreadsheetml/2009/9/main" uri="{E15A36E0-9728-4e99-A89B-3F7291B0FE68}">
          <x14:dataField sourceField="0" uniqueName="[__Xl2].[Measures].[Sample Count]"/>
        </ext>
      </extLst>
    </dataField>
    <dataField fld="2" subtotal="count" baseField="0" baseItem="0"/>
  </dataFields>
  <chartFormats count="24">
    <chartFormat chart="15" format="13" series="1">
      <pivotArea type="data" outline="0" fieldPosition="0">
        <references count="1">
          <reference field="4294967294" count="1" selected="0">
            <x v="1"/>
          </reference>
        </references>
      </pivotArea>
    </chartFormat>
    <chartFormat chart="15" format="14" series="1">
      <pivotArea type="data" outline="0" fieldPosition="0">
        <references count="1">
          <reference field="4294967294" count="1" selected="0">
            <x v="0"/>
          </reference>
        </references>
      </pivotArea>
    </chartFormat>
    <chartFormat chart="15" format="22" series="1">
      <pivotArea type="data" outline="0" fieldPosition="0">
        <references count="1">
          <reference field="4294967294" count="1" selected="0">
            <x v="2"/>
          </reference>
        </references>
      </pivotArea>
    </chartFormat>
    <chartFormat chart="15" format="23">
      <pivotArea type="data" outline="0" fieldPosition="0">
        <references count="2">
          <reference field="4294967294" count="1" selected="0">
            <x v="2"/>
          </reference>
          <reference field="1" count="1" selected="0">
            <x v="0"/>
          </reference>
        </references>
      </pivotArea>
    </chartFormat>
    <chartFormat chart="15" format="24">
      <pivotArea type="data" outline="0" fieldPosition="0">
        <references count="2">
          <reference field="4294967294" count="1" selected="0">
            <x v="0"/>
          </reference>
          <reference field="1" count="1" selected="0">
            <x v="1"/>
          </reference>
        </references>
      </pivotArea>
    </chartFormat>
    <chartFormat chart="15" format="25">
      <pivotArea type="data" outline="0" fieldPosition="0">
        <references count="2">
          <reference field="4294967294" count="1" selected="0">
            <x v="0"/>
          </reference>
          <reference field="1" count="1" selected="0">
            <x v="2"/>
          </reference>
        </references>
      </pivotArea>
    </chartFormat>
    <chartFormat chart="15" format="26">
      <pivotArea type="data" outline="0" fieldPosition="0">
        <references count="2">
          <reference field="4294967294" count="1" selected="0">
            <x v="0"/>
          </reference>
          <reference field="1" count="1" selected="0">
            <x v="3"/>
          </reference>
        </references>
      </pivotArea>
    </chartFormat>
    <chartFormat chart="15" format="27">
      <pivotArea type="data" outline="0" fieldPosition="0">
        <references count="2">
          <reference field="4294967294" count="1" selected="0">
            <x v="2"/>
          </reference>
          <reference field="1" count="1" selected="0">
            <x v="2"/>
          </reference>
        </references>
      </pivotArea>
    </chartFormat>
    <chartFormat chart="15" format="28">
      <pivotArea type="data" outline="0" fieldPosition="0">
        <references count="2">
          <reference field="4294967294" count="1" selected="0">
            <x v="2"/>
          </reference>
          <reference field="1" count="1" selected="0">
            <x v="3"/>
          </reference>
        </references>
      </pivotArea>
    </chartFormat>
    <chartFormat chart="15" format="29">
      <pivotArea type="data" outline="0" fieldPosition="0">
        <references count="2">
          <reference field="4294967294" count="1" selected="0">
            <x v="2"/>
          </reference>
          <reference field="1" count="1" selected="0">
            <x v="1"/>
          </reference>
        </references>
      </pivotArea>
    </chartFormat>
    <chartFormat chart="15" format="30">
      <pivotArea type="data" outline="0" fieldPosition="0">
        <references count="2">
          <reference field="4294967294" count="1" selected="0">
            <x v="0"/>
          </reference>
          <reference field="1" count="1" selected="0">
            <x v="0"/>
          </reference>
        </references>
      </pivotArea>
    </chartFormat>
    <chartFormat chart="15" format="31">
      <pivotArea type="data" outline="0" fieldPosition="0">
        <references count="2">
          <reference field="4294967294" count="1" selected="0">
            <x v="0"/>
          </reference>
          <reference field="1" count="1" selected="0">
            <x v="4"/>
          </reference>
        </references>
      </pivotArea>
    </chartFormat>
    <chartFormat chart="19" format="44" series="1">
      <pivotArea type="data" outline="0" fieldPosition="0">
        <references count="1">
          <reference field="4294967294" count="1" selected="0">
            <x v="1"/>
          </reference>
        </references>
      </pivotArea>
    </chartFormat>
    <chartFormat chart="19" format="45" series="1">
      <pivotArea type="data" outline="0" fieldPosition="0">
        <references count="1">
          <reference field="4294967294" count="1" selected="0">
            <x v="0"/>
          </reference>
        </references>
      </pivotArea>
    </chartFormat>
    <chartFormat chart="19" format="46">
      <pivotArea type="data" outline="0" fieldPosition="0">
        <references count="2">
          <reference field="4294967294" count="1" selected="0">
            <x v="0"/>
          </reference>
          <reference field="1" count="1" selected="0">
            <x v="0"/>
          </reference>
        </references>
      </pivotArea>
    </chartFormat>
    <chartFormat chart="19" format="47">
      <pivotArea type="data" outline="0" fieldPosition="0">
        <references count="2">
          <reference field="4294967294" count="1" selected="0">
            <x v="0"/>
          </reference>
          <reference field="1" count="1" selected="0">
            <x v="1"/>
          </reference>
        </references>
      </pivotArea>
    </chartFormat>
    <chartFormat chart="19" format="48">
      <pivotArea type="data" outline="0" fieldPosition="0">
        <references count="2">
          <reference field="4294967294" count="1" selected="0">
            <x v="0"/>
          </reference>
          <reference field="1" count="1" selected="0">
            <x v="2"/>
          </reference>
        </references>
      </pivotArea>
    </chartFormat>
    <chartFormat chart="19" format="49">
      <pivotArea type="data" outline="0" fieldPosition="0">
        <references count="2">
          <reference field="4294967294" count="1" selected="0">
            <x v="0"/>
          </reference>
          <reference field="1" count="1" selected="0">
            <x v="3"/>
          </reference>
        </references>
      </pivotArea>
    </chartFormat>
    <chartFormat chart="19" format="50">
      <pivotArea type="data" outline="0" fieldPosition="0">
        <references count="2">
          <reference field="4294967294" count="1" selected="0">
            <x v="0"/>
          </reference>
          <reference field="1" count="1" selected="0">
            <x v="4"/>
          </reference>
        </references>
      </pivotArea>
    </chartFormat>
    <chartFormat chart="19" format="51" series="1">
      <pivotArea type="data" outline="0" fieldPosition="0">
        <references count="1">
          <reference field="4294967294" count="1" selected="0">
            <x v="2"/>
          </reference>
        </references>
      </pivotArea>
    </chartFormat>
    <chartFormat chart="19" format="52">
      <pivotArea type="data" outline="0" fieldPosition="0">
        <references count="2">
          <reference field="4294967294" count="1" selected="0">
            <x v="2"/>
          </reference>
          <reference field="1" count="1" selected="0">
            <x v="0"/>
          </reference>
        </references>
      </pivotArea>
    </chartFormat>
    <chartFormat chart="19" format="53">
      <pivotArea type="data" outline="0" fieldPosition="0">
        <references count="2">
          <reference field="4294967294" count="1" selected="0">
            <x v="2"/>
          </reference>
          <reference field="1" count="1" selected="0">
            <x v="1"/>
          </reference>
        </references>
      </pivotArea>
    </chartFormat>
    <chartFormat chart="19" format="54">
      <pivotArea type="data" outline="0" fieldPosition="0">
        <references count="2">
          <reference field="4294967294" count="1" selected="0">
            <x v="2"/>
          </reference>
          <reference field="1" count="1" selected="0">
            <x v="2"/>
          </reference>
        </references>
      </pivotArea>
    </chartFormat>
    <chartFormat chart="19" format="55">
      <pivotArea type="data" outline="0" fieldPosition="0">
        <references count="2">
          <reference field="4294967294" count="1" selected="0">
            <x v="2"/>
          </reference>
          <reference field="1" count="1" selected="0">
            <x v="3"/>
          </reference>
        </references>
      </pivotArea>
    </chartFormat>
  </chartFormats>
  <pivotHierarchies count="48">
    <pivotHierarchy dragToData="1"/>
    <pivotHierarchy multipleItemSelectionAllowed="1" dragToData="1">
      <members count="1" level="1">
        <member name="[Lab_Data].[Analyzer Module].&amp;[Abbott Alini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zer TAT Diagnostic Tool.xlsx!Lab_Data">
        <x15:activeTabTopLevelEntity name="[Lab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CC4F10-E9B9-4C0F-858D-5EEBD4E11093}" name="KPI Over Latency Rate"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9:C32"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dataField fld="2" subtotal="count" baseField="0" baseItem="0"/>
  </dataFields>
  <pivotHierarchies count="47">
    <pivotHierarchy dragToData="1"/>
    <pivotHierarchy multipleItemSelectionAllowed="1" dragToData="1">
      <members count="1" level="1">
        <member name="[Lab_Data].[Analyzer Module].&amp;[Abbott Alini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C2647E-2DC0-40C1-B013-1B39C9094078}" autoFormatId="16" applyNumberFormats="0" applyBorderFormats="0" applyFontFormats="0" applyPatternFormats="0" applyAlignmentFormats="0" applyWidthHeightFormats="0">
  <queryTableRefresh nextId="12">
    <queryTableFields count="11">
      <queryTableField id="1" name="Sample ID" tableColumnId="1"/>
      <queryTableField id="2" name="Analyzer Module" tableColumnId="2"/>
      <queryTableField id="3" name="Processing Time (Min)" tableColumnId="3"/>
      <queryTableField id="4" name="Integration Latency (Min)" tableColumnId="4"/>
      <queryTableField id="5" name="Latency Severity" tableColumnId="5"/>
      <queryTableField id="6" name="Test Profile" tableColumnId="6"/>
      <queryTableField id="7" name="Data Quality Flag" tableColumnId="7"/>
      <queryTableField id="8" name="Verified To EHR" tableColumnId="8"/>
      <queryTableField id="9" name="Verified &amp; Quality Flag Cross-Check" tableColumnId="9"/>
      <queryTableField id="10" name="Transaction_Date" tableColumnId="10"/>
      <queryTableField id="11" name="Day of Week"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alyzer_Module" xr10:uid="{9AA25218-72DF-4047-9383-FDAEF267C8B8}" sourceName="[Lab_Data].[Analyzer Module]">
  <pivotTables>
    <pivotTable tabId="12" name="Metrics With Analyzer Slicer"/>
    <pivotTable tabId="12" name="Chart Daily Sample Count With Analyzer Slicer"/>
    <pivotTable tabId="12" name="Selected Analyzer"/>
    <pivotTable tabId="12" name="KPI Missing and Delivered EHR Count"/>
    <pivotTable tabId="12" name="KPI Missing and Delivered EHR Rate"/>
    <pivotTable tabId="12" name="KPI Over Latency Count"/>
    <pivotTable tabId="12" name="KPI Over Latency Rate"/>
    <pivotTable tabId="12" name="Chart Processing Time vs Target"/>
    <pivotTable tabId="12" name="Chart Latency Breakdown"/>
    <pivotTable tabId="12" name="Chart Valid vs. Invalid Sample Count By Analyzer"/>
    <pivotTable tabId="12" name="Chart Test Profiles"/>
  </pivotTables>
  <data>
    <olap pivotCacheId="477828475">
      <levels count="2">
        <level uniqueName="[Lab_Data].[Analyzer Module].[(All)]" sourceCaption="(All)" count="0"/>
        <level uniqueName="[Lab_Data].[Analyzer Module].[Analyzer Module]" sourceCaption="Analyzer Module" count="3">
          <ranges>
            <range startItem="0">
              <i n="[Lab_Data].[Analyzer Module].&amp;[Abbott Alinity]" c="Abbott Alinity"/>
              <i n="[Lab_Data].[Analyzer Module].&amp;[Beckman Coulter]" c="Beckman Coulter"/>
              <i n="[Lab_Data].[Analyzer Module].&amp;[Roche Cobas 8000]" c="Roche Cobas 8000"/>
            </range>
          </ranges>
        </level>
      </levels>
      <selections count="1">
        <selection n="[Lab_Data].[Analyzer Module].&amp;[Abbott Alinit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alyzer Module" xr10:uid="{FEDC61AA-4437-4E46-82EA-6E420BE9DDB7}" cache="Slicer_Analyzer_Module" caption="Analyzer Module" level="1" style="SlicerStyleDark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890B83-181C-4C1A-AF5F-7175EB752415}" name="Lab_Data" displayName="Lab_Data" ref="A3:K1003" tableType="queryTable" totalsRowShown="0">
  <autoFilter ref="A3:K1003" xr:uid="{F4890B83-181C-4C1A-AF5F-7175EB752415}"/>
  <tableColumns count="11">
    <tableColumn id="1" xr3:uid="{17588F07-1092-4E4E-9BFE-DC14093E58CE}" uniqueName="1" name="Sample ID" queryTableFieldId="1" dataDxfId="14"/>
    <tableColumn id="2" xr3:uid="{45F7BF91-9EBA-4110-ADA3-2741E33E684F}" uniqueName="2" name="Analyzer Module" queryTableFieldId="2" dataDxfId="13"/>
    <tableColumn id="3" xr3:uid="{DFD16C88-8B99-4277-B1BF-ECAF32229548}" uniqueName="3" name="Processing Time (Min)" queryTableFieldId="3"/>
    <tableColumn id="4" xr3:uid="{B2ED1485-126D-4E48-AA25-5A642FE362F1}" uniqueName="4" name="Integration Latency (Min)" queryTableFieldId="4"/>
    <tableColumn id="5" xr3:uid="{EA47216C-0F73-4298-98EB-BA8F3334B5C0}" uniqueName="5" name="Latency Severity" queryTableFieldId="5"/>
    <tableColumn id="6" xr3:uid="{E4E6DFAB-34EC-4557-B609-05A174E466C1}" uniqueName="6" name="Test Profile" queryTableFieldId="6" dataDxfId="12"/>
    <tableColumn id="7" xr3:uid="{29AB178A-6E37-4686-AC41-58E561F98DAA}" uniqueName="7" name="Data Quality Flag" queryTableFieldId="7" dataDxfId="11"/>
    <tableColumn id="8" xr3:uid="{869A651C-0F95-435D-BE34-7A78B6DDB075}" uniqueName="8" name="Verified To EHR" queryTableFieldId="8" dataDxfId="10"/>
    <tableColumn id="9" xr3:uid="{472B3B91-3053-4B5E-BFF0-BCF0C8274AE6}" uniqueName="9" name="Verified &amp; Quality Flag Cross-Check" queryTableFieldId="9"/>
    <tableColumn id="10" xr3:uid="{971FE237-F045-4DC3-A1F6-9C675AE3CA02}" uniqueName="10" name="Transaction_Date" queryTableFieldId="10" dataDxfId="9"/>
    <tableColumn id="11" xr3:uid="{D94EC105-32DB-4CD7-942B-ED8C1D5000E5}" uniqueName="11" name="Day of Week"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7D1279-2AF2-404A-9B48-123054D4619E}" name="Machine_SLA" displayName="Machine_SLA" ref="A3:D6" totalsRowShown="0">
  <autoFilter ref="A3:D6" xr:uid="{937D1279-2AF2-404A-9B48-123054D4619E}"/>
  <tableColumns count="4">
    <tableColumn id="1" xr3:uid="{72653454-8C6E-4937-A530-8CDA2B3A9AB6}" name="Analyzer Module" dataDxfId="8"/>
    <tableColumn id="2" xr3:uid="{8F0F623E-12D5-433E-9070-52FCBCE51B1B}" name="Target Processing Time"/>
    <tableColumn id="3" xr3:uid="{E48A575A-13F2-4C69-9483-E7FACA3BE62E}" name="Hardware Version"/>
    <tableColumn id="4" xr3:uid="{3DBA99C5-8748-4A32-8302-D5A3DD29E7F4}" name="Support Vend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9B373-DC41-491C-BF97-5FB947A18139}">
  <sheetPr>
    <tabColor theme="3" tint="0.39997558519241921"/>
  </sheetPr>
  <dimension ref="B1:AR30"/>
  <sheetViews>
    <sheetView tabSelected="1" zoomScaleNormal="100" workbookViewId="0"/>
  </sheetViews>
  <sheetFormatPr defaultRowHeight="14.25" x14ac:dyDescent="0.45"/>
  <cols>
    <col min="1" max="1" width="9.86328125" style="6" customWidth="1"/>
    <col min="2" max="3" width="10.265625" style="6" customWidth="1"/>
    <col min="4" max="7" width="8.33203125" style="6" customWidth="1"/>
    <col min="8" max="8" width="5.33203125" style="6" customWidth="1"/>
    <col min="9" max="12" width="8.33203125" style="6" customWidth="1"/>
    <col min="13" max="13" width="5.33203125" style="6" customWidth="1"/>
    <col min="14" max="17" width="8.33203125" style="6" customWidth="1"/>
    <col min="18" max="18" width="5.33203125" style="6" customWidth="1"/>
    <col min="19" max="22" width="8.33203125" style="6" customWidth="1"/>
    <col min="23" max="23" width="8.3984375" style="6" customWidth="1"/>
    <col min="24" max="24" width="9.06640625" style="6"/>
    <col min="25" max="28" width="9.06640625" style="6" customWidth="1"/>
    <col min="29" max="38" width="9.06640625" style="6"/>
    <col min="39" max="44" width="0" style="6" hidden="1" customWidth="1"/>
    <col min="45" max="16384" width="9.06640625" style="6"/>
  </cols>
  <sheetData>
    <row r="1" spans="2:22" ht="24.4" customHeight="1" x14ac:dyDescent="0.7">
      <c r="B1" s="21" t="s">
        <v>1057</v>
      </c>
    </row>
    <row r="2" spans="2:22" ht="17.350000000000001" customHeight="1" x14ac:dyDescent="0.9">
      <c r="B2" s="13"/>
      <c r="D2" s="23">
        <f>Pivots!G13</f>
        <v>0</v>
      </c>
      <c r="E2" s="23"/>
      <c r="F2" s="23"/>
      <c r="G2" s="23"/>
      <c r="H2" s="20"/>
      <c r="I2" s="23">
        <f>Pivots!F12</f>
        <v>0</v>
      </c>
      <c r="J2" s="23"/>
      <c r="K2" s="23"/>
      <c r="L2" s="23"/>
      <c r="M2" s="20"/>
      <c r="N2" s="23">
        <f>Pivots!F25</f>
        <v>0</v>
      </c>
      <c r="O2" s="23"/>
      <c r="P2" s="23"/>
      <c r="Q2" s="23"/>
      <c r="R2" s="20"/>
      <c r="S2" s="23">
        <f>Pivots!F24</f>
        <v>20</v>
      </c>
      <c r="T2" s="23"/>
      <c r="U2" s="23"/>
      <c r="V2" s="23"/>
    </row>
    <row r="3" spans="2:22" ht="17.350000000000001" customHeight="1" x14ac:dyDescent="0.9">
      <c r="B3" s="13"/>
      <c r="D3" s="23"/>
      <c r="E3" s="23"/>
      <c r="F3" s="23"/>
      <c r="G3" s="23"/>
      <c r="H3" s="20"/>
      <c r="I3" s="23"/>
      <c r="J3" s="23"/>
      <c r="K3" s="23"/>
      <c r="L3" s="23"/>
      <c r="M3" s="20"/>
      <c r="N3" s="23"/>
      <c r="O3" s="23"/>
      <c r="P3" s="23"/>
      <c r="Q3" s="23"/>
      <c r="R3" s="20"/>
      <c r="S3" s="23"/>
      <c r="T3" s="23"/>
      <c r="U3" s="23"/>
      <c r="V3" s="23"/>
    </row>
    <row r="4" spans="2:22" ht="17.350000000000001" customHeight="1" x14ac:dyDescent="0.9">
      <c r="B4" s="13"/>
      <c r="D4" s="24">
        <f>Pivots!G19</f>
        <v>0</v>
      </c>
      <c r="E4" s="24"/>
      <c r="F4" s="24"/>
      <c r="G4" s="24"/>
      <c r="H4" s="20"/>
      <c r="I4" s="24">
        <f>Pivots!F18</f>
        <v>0</v>
      </c>
      <c r="J4" s="24"/>
      <c r="K4" s="24"/>
      <c r="L4" s="24"/>
      <c r="M4" s="20"/>
      <c r="N4" s="24">
        <f>Pivots!F31</f>
        <v>0</v>
      </c>
      <c r="O4" s="24"/>
      <c r="P4" s="24"/>
      <c r="Q4" s="24"/>
      <c r="R4" s="20"/>
      <c r="S4" s="24">
        <f>Pivots!F30</f>
        <v>1</v>
      </c>
      <c r="T4" s="24"/>
      <c r="U4" s="24"/>
      <c r="V4" s="24"/>
    </row>
    <row r="5" spans="2:22" ht="17.350000000000001" customHeight="1" x14ac:dyDescent="0.9">
      <c r="B5" s="13"/>
      <c r="D5" s="24"/>
      <c r="E5" s="24"/>
      <c r="F5" s="24"/>
      <c r="G5" s="24"/>
      <c r="H5" s="20"/>
      <c r="I5" s="24"/>
      <c r="J5" s="24"/>
      <c r="K5" s="24"/>
      <c r="L5" s="24"/>
      <c r="M5" s="20"/>
      <c r="N5" s="24"/>
      <c r="O5" s="24"/>
      <c r="P5" s="24"/>
      <c r="Q5" s="24"/>
      <c r="R5" s="20"/>
      <c r="S5" s="24"/>
      <c r="T5" s="24"/>
      <c r="U5" s="24"/>
      <c r="V5" s="24"/>
    </row>
    <row r="6" spans="2:22" ht="28.5" x14ac:dyDescent="0.45">
      <c r="B6" s="13"/>
    </row>
    <row r="7" spans="2:22" ht="28.5" x14ac:dyDescent="0.45">
      <c r="B7" s="13"/>
    </row>
    <row r="8" spans="2:22" ht="28.5" x14ac:dyDescent="0.45">
      <c r="B8" s="13"/>
    </row>
    <row r="9" spans="2:22" ht="28.5" x14ac:dyDescent="0.45">
      <c r="B9" s="13"/>
    </row>
    <row r="10" spans="2:22" ht="28.5" x14ac:dyDescent="0.45">
      <c r="B10" s="13"/>
    </row>
    <row r="11" spans="2:22" ht="28.5" x14ac:dyDescent="0.45">
      <c r="B11" s="13"/>
    </row>
    <row r="12" spans="2:22" ht="28.5" x14ac:dyDescent="0.45">
      <c r="B12" s="13"/>
    </row>
    <row r="13" spans="2:22" ht="28.5" x14ac:dyDescent="0.45">
      <c r="B13" s="13"/>
    </row>
    <row r="14" spans="2:22" ht="28.5" x14ac:dyDescent="0.45">
      <c r="B14" s="13"/>
    </row>
    <row r="15" spans="2:22" ht="28.5" x14ac:dyDescent="0.45">
      <c r="B15" s="13"/>
    </row>
    <row r="16" spans="2:22" ht="28.5" x14ac:dyDescent="0.45">
      <c r="B16" s="13"/>
    </row>
    <row r="17" spans="2:44" ht="28.5" x14ac:dyDescent="0.45">
      <c r="B17" s="13"/>
    </row>
    <row r="18" spans="2:44" ht="28.5" x14ac:dyDescent="0.45">
      <c r="B18" s="13"/>
    </row>
    <row r="19" spans="2:44" ht="28.5" x14ac:dyDescent="0.45">
      <c r="B19" s="13"/>
    </row>
    <row r="20" spans="2:44" ht="28.5" x14ac:dyDescent="0.45">
      <c r="B20" s="13"/>
    </row>
    <row r="21" spans="2:44" ht="15.75" x14ac:dyDescent="0.5">
      <c r="R21" s="11"/>
    </row>
    <row r="23" spans="2:44" x14ac:dyDescent="0.45">
      <c r="Y23" s="12"/>
      <c r="AA23" s="12"/>
      <c r="AM23" s="12" t="e">
        <f>IF(Pivots!#REF!=" ",0,Pivots!#REF!)</f>
        <v>#REF!</v>
      </c>
      <c r="AN23" s="6" t="e">
        <f>IF(Pivots!#REF!=" ",0,Pivots!#REF!)</f>
        <v>#REF!</v>
      </c>
      <c r="AO23" s="12" t="e">
        <f>IF(Pivots!#REF!=" ",0,Pivots!#REF!)</f>
        <v>#REF!</v>
      </c>
      <c r="AP23" s="6" t="e">
        <f>IF(Pivots!#REF!=" ",0,Pivots!#REF!)</f>
        <v>#REF!</v>
      </c>
      <c r="AQ23" s="12" t="e">
        <f>IF(Pivots!#REF!=" ",0,Pivots!#REF!)</f>
        <v>#REF!</v>
      </c>
      <c r="AR23" s="6" t="e">
        <f>IF(Pivots!#REF!=" ",0,Pivots!#REF!)</f>
        <v>#REF!</v>
      </c>
    </row>
    <row r="25" spans="2:44" x14ac:dyDescent="0.45">
      <c r="Y25" s="12"/>
      <c r="AA25" s="12"/>
      <c r="AM25" s="12" t="e">
        <f>IF(Pivots!#REF!=" ",0,Pivots!#REF!)</f>
        <v>#REF!</v>
      </c>
      <c r="AN25" s="6" t="e">
        <f>IF(Pivots!#REF!=" ",0,Pivots!#REF!)</f>
        <v>#REF!</v>
      </c>
      <c r="AO25" s="12" t="e">
        <f>IF(Pivots!#REF!=" ",0,Pivots!#REF!)</f>
        <v>#REF!</v>
      </c>
      <c r="AP25" s="6" t="e">
        <f>IF(Pivots!#REF!=" ",0,Pivots!#REF!)</f>
        <v>#REF!</v>
      </c>
      <c r="AQ25" s="12" t="e">
        <f>IF(Pivots!#REF!=" ",0,Pivots!#REF!)</f>
        <v>#REF!</v>
      </c>
      <c r="AR25" s="6" t="e">
        <f>IF(Pivots!#REF!=" ",0,Pivots!#REF!)</f>
        <v>#REF!</v>
      </c>
    </row>
    <row r="30" spans="2:44" ht="15.75" x14ac:dyDescent="0.5">
      <c r="J30" s="11"/>
    </row>
  </sheetData>
  <mergeCells count="8">
    <mergeCell ref="S2:V3"/>
    <mergeCell ref="S4:V5"/>
    <mergeCell ref="D2:G3"/>
    <mergeCell ref="D4:G5"/>
    <mergeCell ref="I2:L3"/>
    <mergeCell ref="I4:L5"/>
    <mergeCell ref="N2:Q3"/>
    <mergeCell ref="N4:Q5"/>
  </mergeCells>
  <conditionalFormatting sqref="D2 D4">
    <cfRule type="expression" dxfId="7" priority="7">
      <formula>$D$2=0</formula>
    </cfRule>
    <cfRule type="expression" dxfId="6" priority="8">
      <formula>$D$2&gt;0</formula>
    </cfRule>
  </conditionalFormatting>
  <conditionalFormatting sqref="I2 I4">
    <cfRule type="expression" dxfId="5" priority="5">
      <formula>$I$2=0</formula>
    </cfRule>
    <cfRule type="expression" dxfId="4" priority="6">
      <formula>$I$2&gt;0</formula>
    </cfRule>
  </conditionalFormatting>
  <conditionalFormatting sqref="N2 N4">
    <cfRule type="expression" dxfId="3" priority="3">
      <formula>$N$2=0</formula>
    </cfRule>
    <cfRule type="expression" dxfId="2" priority="4">
      <formula>$I$2+$N$2&gt;0</formula>
    </cfRule>
  </conditionalFormatting>
  <conditionalFormatting sqref="S2 S4">
    <cfRule type="expression" dxfId="1" priority="1">
      <formula>$S$2=0</formula>
    </cfRule>
    <cfRule type="expression" dxfId="0" priority="2">
      <formula>$S$2&gt;0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32F58-24F3-4CA6-9D59-D8076FF08A7C}">
  <sheetPr>
    <tabColor theme="0" tint="-0.499984740745262"/>
  </sheetPr>
  <dimension ref="A3:P89"/>
  <sheetViews>
    <sheetView workbookViewId="0"/>
  </sheetViews>
  <sheetFormatPr defaultRowHeight="14.25" x14ac:dyDescent="0.45"/>
  <cols>
    <col min="1" max="1" width="12.06640625" bestFit="1" customWidth="1"/>
    <col min="2" max="2" width="19.265625" bestFit="1" customWidth="1"/>
    <col min="3" max="3" width="22.265625" bestFit="1" customWidth="1"/>
    <col min="4" max="4" width="9.53125" bestFit="1" customWidth="1"/>
    <col min="5" max="5" width="11.86328125" bestFit="1" customWidth="1"/>
    <col min="6" max="6" width="10.19921875" bestFit="1" customWidth="1"/>
    <col min="7" max="7" width="19.59765625" bestFit="1" customWidth="1"/>
    <col min="8" max="8" width="18.6640625" bestFit="1" customWidth="1"/>
    <col min="9" max="9" width="18.86328125" bestFit="1" customWidth="1"/>
    <col min="10" max="10" width="20.9296875" bestFit="1" customWidth="1"/>
    <col min="11" max="11" width="26.06640625" bestFit="1" customWidth="1"/>
    <col min="12" max="12" width="28.73046875" bestFit="1" customWidth="1"/>
    <col min="13" max="13" width="26.86328125" bestFit="1" customWidth="1"/>
    <col min="14" max="14" width="32.265625" bestFit="1" customWidth="1"/>
    <col min="15" max="15" width="26.1328125" bestFit="1" customWidth="1"/>
    <col min="16" max="16" width="31.1328125" bestFit="1" customWidth="1"/>
    <col min="17" max="17" width="15.796875" bestFit="1" customWidth="1"/>
    <col min="18" max="18" width="10.46484375" bestFit="1" customWidth="1"/>
    <col min="19" max="19" width="15.53125" bestFit="1" customWidth="1"/>
    <col min="20" max="20" width="20.19921875" bestFit="1" customWidth="1"/>
    <col min="21" max="21" width="19.53125" bestFit="1" customWidth="1"/>
  </cols>
  <sheetData>
    <row r="3" spans="1:16" x14ac:dyDescent="0.45">
      <c r="A3" t="s">
        <v>9</v>
      </c>
      <c r="B3" t="s">
        <v>10</v>
      </c>
      <c r="C3" t="s">
        <v>1041</v>
      </c>
      <c r="D3" t="s">
        <v>1054</v>
      </c>
      <c r="E3" t="s">
        <v>1044</v>
      </c>
      <c r="F3" t="s">
        <v>1052</v>
      </c>
      <c r="G3" t="s">
        <v>1042</v>
      </c>
      <c r="H3" t="s">
        <v>1055</v>
      </c>
      <c r="I3" t="s">
        <v>1043</v>
      </c>
      <c r="J3" t="s">
        <v>1053</v>
      </c>
      <c r="K3" t="s">
        <v>1045</v>
      </c>
      <c r="L3" t="s">
        <v>1046</v>
      </c>
      <c r="M3" t="s">
        <v>1048</v>
      </c>
      <c r="N3" t="s">
        <v>1056</v>
      </c>
      <c r="O3" t="s">
        <v>1047</v>
      </c>
      <c r="P3" t="s">
        <v>1086</v>
      </c>
    </row>
    <row r="4" spans="1:16" x14ac:dyDescent="0.45">
      <c r="A4" s="4">
        <v>1000</v>
      </c>
      <c r="B4" s="4">
        <v>36913</v>
      </c>
      <c r="C4" s="5">
        <v>921</v>
      </c>
      <c r="D4" s="5">
        <v>921</v>
      </c>
      <c r="E4" s="5">
        <v>79</v>
      </c>
      <c r="F4" s="5">
        <v>79</v>
      </c>
      <c r="G4" s="14">
        <v>0.92100000000000004</v>
      </c>
      <c r="H4" s="14">
        <v>0.92100000000000004</v>
      </c>
      <c r="I4" s="14">
        <v>7.9000000000000001E-2</v>
      </c>
      <c r="J4" s="14">
        <v>7.9000000000000001E-2</v>
      </c>
      <c r="K4" s="9">
        <v>36.912999999999997</v>
      </c>
      <c r="L4" s="9">
        <v>3.2330000000000001</v>
      </c>
      <c r="M4" s="5">
        <v>0</v>
      </c>
      <c r="N4" s="5">
        <v>0</v>
      </c>
      <c r="O4" s="9">
        <v>39.556962025316459</v>
      </c>
      <c r="P4" s="9">
        <v>24.278481012658229</v>
      </c>
    </row>
    <row r="7" spans="1:16" x14ac:dyDescent="0.45">
      <c r="A7" t="s">
        <v>9</v>
      </c>
      <c r="B7" t="s">
        <v>10</v>
      </c>
      <c r="C7" t="s">
        <v>1041</v>
      </c>
      <c r="D7" t="s">
        <v>1054</v>
      </c>
      <c r="E7" t="s">
        <v>1044</v>
      </c>
      <c r="F7" t="s">
        <v>1052</v>
      </c>
      <c r="G7" t="s">
        <v>1042</v>
      </c>
      <c r="H7" t="s">
        <v>1055</v>
      </c>
      <c r="I7" t="s">
        <v>1043</v>
      </c>
      <c r="J7" t="s">
        <v>1053</v>
      </c>
      <c r="K7" t="s">
        <v>1045</v>
      </c>
      <c r="L7" t="s">
        <v>1046</v>
      </c>
      <c r="M7" t="s">
        <v>1048</v>
      </c>
      <c r="N7" t="s">
        <v>1056</v>
      </c>
      <c r="O7" t="s">
        <v>1047</v>
      </c>
      <c r="P7" t="s">
        <v>1086</v>
      </c>
    </row>
    <row r="8" spans="1:16" x14ac:dyDescent="0.45">
      <c r="A8" s="4">
        <v>341</v>
      </c>
      <c r="B8" s="4">
        <v>5838</v>
      </c>
      <c r="C8" s="5">
        <v>321</v>
      </c>
      <c r="D8" s="5">
        <v>321</v>
      </c>
      <c r="E8" s="5">
        <v>20</v>
      </c>
      <c r="F8" s="5">
        <v>20</v>
      </c>
      <c r="G8" s="14">
        <v>0.94134897360703818</v>
      </c>
      <c r="H8" s="14">
        <v>0.94134897360703818</v>
      </c>
      <c r="I8" s="14">
        <v>5.865102639296188E-2</v>
      </c>
      <c r="J8" s="14">
        <v>5.865102639296188E-2</v>
      </c>
      <c r="K8" s="9">
        <v>17.120234604105573</v>
      </c>
      <c r="L8" s="9">
        <v>2.7800586510263932</v>
      </c>
      <c r="M8" s="5">
        <v>0</v>
      </c>
      <c r="N8" s="5">
        <v>0</v>
      </c>
      <c r="O8" s="9">
        <v>16</v>
      </c>
      <c r="P8" s="9">
        <v>25.45</v>
      </c>
    </row>
    <row r="11" spans="1:16" x14ac:dyDescent="0.45">
      <c r="A11" s="7" t="s">
        <v>11</v>
      </c>
      <c r="B11" t="s">
        <v>1054</v>
      </c>
      <c r="C11" t="s">
        <v>1052</v>
      </c>
      <c r="E11" t="s">
        <v>1059</v>
      </c>
      <c r="F11" s="10" t="s">
        <v>1054</v>
      </c>
      <c r="G11" s="10" t="s">
        <v>1052</v>
      </c>
    </row>
    <row r="12" spans="1:16" x14ac:dyDescent="0.45">
      <c r="A12" s="8" t="s">
        <v>1035</v>
      </c>
      <c r="B12" s="5"/>
      <c r="C12" s="5">
        <v>20</v>
      </c>
      <c r="E12" s="17" t="s">
        <v>1058</v>
      </c>
      <c r="F12" s="19">
        <f>IF(B12=" ",0,B12)</f>
        <v>0</v>
      </c>
      <c r="G12" s="19">
        <f>IF(C12=" ",0,C12)</f>
        <v>20</v>
      </c>
    </row>
    <row r="13" spans="1:16" x14ac:dyDescent="0.45">
      <c r="A13" s="8" t="s">
        <v>1</v>
      </c>
      <c r="B13" s="5">
        <v>321</v>
      </c>
      <c r="C13" s="5"/>
      <c r="E13" s="17" t="s">
        <v>1</v>
      </c>
      <c r="F13" s="19">
        <f>IF(B13=" ",0,B13)</f>
        <v>321</v>
      </c>
      <c r="G13" s="19">
        <f>IF(C13=" ",0,C13)</f>
        <v>0</v>
      </c>
    </row>
    <row r="14" spans="1:16" x14ac:dyDescent="0.45">
      <c r="A14" s="8" t="s">
        <v>12</v>
      </c>
      <c r="B14" s="5">
        <v>321</v>
      </c>
      <c r="C14" s="5">
        <v>20</v>
      </c>
    </row>
    <row r="15" spans="1:16" x14ac:dyDescent="0.45">
      <c r="A15" s="8"/>
      <c r="B15" s="5"/>
      <c r="C15" s="5"/>
    </row>
    <row r="16" spans="1:16" x14ac:dyDescent="0.45">
      <c r="A16" s="8"/>
      <c r="B16" s="5"/>
      <c r="C16" s="5"/>
    </row>
    <row r="17" spans="1:7" x14ac:dyDescent="0.45">
      <c r="A17" s="7" t="s">
        <v>11</v>
      </c>
      <c r="B17" t="s">
        <v>1055</v>
      </c>
      <c r="C17" t="s">
        <v>1053</v>
      </c>
      <c r="E17" t="s">
        <v>1059</v>
      </c>
      <c r="F17" s="10" t="s">
        <v>1055</v>
      </c>
      <c r="G17" s="10" t="s">
        <v>1053</v>
      </c>
    </row>
    <row r="18" spans="1:7" x14ac:dyDescent="0.45">
      <c r="A18" s="8" t="s">
        <v>1035</v>
      </c>
      <c r="B18" s="14"/>
      <c r="C18" s="14">
        <v>1</v>
      </c>
      <c r="E18" s="17" t="s">
        <v>1058</v>
      </c>
      <c r="F18" s="18">
        <f>IF(B18=" ",0,B18)</f>
        <v>0</v>
      </c>
      <c r="G18" s="18">
        <f>IF(C18=" ",0,C18)</f>
        <v>1</v>
      </c>
    </row>
    <row r="19" spans="1:7" x14ac:dyDescent="0.45">
      <c r="A19" s="8" t="s">
        <v>1</v>
      </c>
      <c r="B19" s="14">
        <v>1</v>
      </c>
      <c r="C19" s="14"/>
      <c r="E19" s="17" t="s">
        <v>1</v>
      </c>
      <c r="F19" s="18">
        <f>IF(B19=" ",0,B19)</f>
        <v>1</v>
      </c>
      <c r="G19" s="18">
        <f>IF(C19=" ",0,C19)</f>
        <v>0</v>
      </c>
    </row>
    <row r="20" spans="1:7" x14ac:dyDescent="0.45">
      <c r="A20" s="8" t="s">
        <v>12</v>
      </c>
      <c r="B20" s="14">
        <v>0.94134897360703818</v>
      </c>
      <c r="C20" s="14">
        <v>5.865102639296188E-2</v>
      </c>
    </row>
    <row r="21" spans="1:7" x14ac:dyDescent="0.45">
      <c r="A21" s="8"/>
      <c r="B21" s="5"/>
      <c r="C21" s="5"/>
    </row>
    <row r="22" spans="1:7" x14ac:dyDescent="0.45">
      <c r="A22" s="8"/>
      <c r="B22" s="5"/>
      <c r="C22" s="5"/>
    </row>
    <row r="23" spans="1:7" x14ac:dyDescent="0.45">
      <c r="A23" s="7" t="s">
        <v>11</v>
      </c>
      <c r="B23" t="s">
        <v>1060</v>
      </c>
      <c r="C23" t="s">
        <v>1061</v>
      </c>
      <c r="E23" t="s">
        <v>1059</v>
      </c>
      <c r="F23" s="10" t="s">
        <v>1060</v>
      </c>
      <c r="G23" s="10" t="s">
        <v>1062</v>
      </c>
    </row>
    <row r="24" spans="1:7" x14ac:dyDescent="0.45">
      <c r="A24" s="8" t="s">
        <v>1035</v>
      </c>
      <c r="B24">
        <v>20</v>
      </c>
      <c r="E24" s="17" t="s">
        <v>1058</v>
      </c>
      <c r="F24" s="19">
        <f>IF(B24=" ",0,B24)</f>
        <v>20</v>
      </c>
      <c r="G24" s="19">
        <f>IF(C24=" ",0,C24)</f>
        <v>0</v>
      </c>
    </row>
    <row r="25" spans="1:7" x14ac:dyDescent="0.45">
      <c r="A25" s="8" t="s">
        <v>1</v>
      </c>
      <c r="C25">
        <v>321</v>
      </c>
      <c r="E25" s="17" t="s">
        <v>1</v>
      </c>
      <c r="F25" s="19">
        <f>IF(B25=" ",0,B25)</f>
        <v>0</v>
      </c>
      <c r="G25" s="19">
        <f>IF(C25=" ",0,C25)</f>
        <v>321</v>
      </c>
    </row>
    <row r="26" spans="1:7" x14ac:dyDescent="0.45">
      <c r="A26" s="8" t="s">
        <v>12</v>
      </c>
      <c r="B26">
        <v>20</v>
      </c>
      <c r="C26">
        <v>321</v>
      </c>
    </row>
    <row r="27" spans="1:7" x14ac:dyDescent="0.45">
      <c r="A27" s="8"/>
      <c r="B27" s="5"/>
      <c r="C27" s="5"/>
    </row>
    <row r="28" spans="1:7" x14ac:dyDescent="0.45">
      <c r="A28" s="8"/>
      <c r="B28" s="5"/>
      <c r="C28" s="5"/>
    </row>
    <row r="29" spans="1:7" x14ac:dyDescent="0.45">
      <c r="A29" s="7" t="s">
        <v>11</v>
      </c>
      <c r="B29" t="s">
        <v>1063</v>
      </c>
      <c r="C29" t="s">
        <v>1064</v>
      </c>
      <c r="E29" t="s">
        <v>1059</v>
      </c>
      <c r="F29" s="10" t="s">
        <v>1060</v>
      </c>
      <c r="G29" s="10" t="s">
        <v>1062</v>
      </c>
    </row>
    <row r="30" spans="1:7" x14ac:dyDescent="0.45">
      <c r="A30" s="8" t="s">
        <v>1035</v>
      </c>
      <c r="B30">
        <v>1</v>
      </c>
      <c r="E30" s="17" t="s">
        <v>1058</v>
      </c>
      <c r="F30" s="18">
        <f>IF(B30=" ",0,B30)</f>
        <v>1</v>
      </c>
      <c r="G30" s="18">
        <f>IF(C30=" ",0,C30)</f>
        <v>0</v>
      </c>
    </row>
    <row r="31" spans="1:7" x14ac:dyDescent="0.45">
      <c r="A31" s="8" t="s">
        <v>1</v>
      </c>
      <c r="C31">
        <v>1</v>
      </c>
      <c r="E31" s="17" t="s">
        <v>1</v>
      </c>
      <c r="F31" s="18">
        <f>IF(B31=" ",0,B31)</f>
        <v>0</v>
      </c>
      <c r="G31" s="18">
        <f>IF(C31=" ",0,C31)</f>
        <v>1</v>
      </c>
    </row>
    <row r="32" spans="1:7" x14ac:dyDescent="0.45">
      <c r="A32" s="8" t="s">
        <v>12</v>
      </c>
      <c r="B32">
        <v>5.865102639296188E-2</v>
      </c>
      <c r="C32">
        <v>0.94134897360703818</v>
      </c>
    </row>
    <row r="33" spans="1:14" x14ac:dyDescent="0.45">
      <c r="C33" s="5"/>
    </row>
    <row r="34" spans="1:14" x14ac:dyDescent="0.45">
      <c r="A34" s="8"/>
      <c r="B34" s="5"/>
      <c r="C34" s="5"/>
    </row>
    <row r="35" spans="1:14" x14ac:dyDescent="0.45">
      <c r="A35" s="7" t="s">
        <v>11</v>
      </c>
      <c r="B35" t="s">
        <v>1065</v>
      </c>
      <c r="C35" t="s">
        <v>1045</v>
      </c>
      <c r="D35" t="s">
        <v>1077</v>
      </c>
      <c r="E35" t="s">
        <v>1078</v>
      </c>
      <c r="G35" s="10" t="s">
        <v>1072</v>
      </c>
      <c r="H35" s="10" t="s">
        <v>1076</v>
      </c>
      <c r="I35" s="10" t="s">
        <v>1049</v>
      </c>
      <c r="J35" s="10" t="s">
        <v>1071</v>
      </c>
      <c r="K35" s="10" t="s">
        <v>1075</v>
      </c>
      <c r="L35" s="10" t="s">
        <v>1065</v>
      </c>
      <c r="M35" s="10" t="s">
        <v>1073</v>
      </c>
      <c r="N35" s="10" t="s">
        <v>1074</v>
      </c>
    </row>
    <row r="36" spans="1:14" x14ac:dyDescent="0.45">
      <c r="A36" s="8" t="s">
        <v>1029</v>
      </c>
      <c r="B36" s="9">
        <v>50</v>
      </c>
      <c r="C36" s="9"/>
      <c r="D36" s="9"/>
      <c r="E36" s="9"/>
      <c r="H36" t="str">
        <f>A36</f>
        <v>Beckman Coulter</v>
      </c>
      <c r="I36" t="str">
        <f>IF(AND(C36="", D36=""), "", A36)</f>
        <v/>
      </c>
      <c r="J36" s="9">
        <f>C36</f>
        <v>0</v>
      </c>
      <c r="K36">
        <f>B36</f>
        <v>50</v>
      </c>
      <c r="L36" t="e" cm="1">
        <f t="array" ref="L36">_xlfn.IFS(I36=$H$40,K36,I36=$I$40,K36,I36=$J$40,K36)</f>
        <v>#N/A</v>
      </c>
      <c r="M36" s="9" t="e">
        <f>IF(J36&lt;=L36,J36,NA())</f>
        <v>#N/A</v>
      </c>
      <c r="N36" s="9" t="e">
        <f>IF(J36&gt;L36,J36,NA())</f>
        <v>#N/A</v>
      </c>
    </row>
    <row r="37" spans="1:14" x14ac:dyDescent="0.45">
      <c r="A37" s="8" t="s">
        <v>1024</v>
      </c>
      <c r="B37" s="9">
        <v>20</v>
      </c>
      <c r="C37" s="9">
        <v>17.120234604105573</v>
      </c>
      <c r="D37" s="9">
        <v>17.120234604105573</v>
      </c>
      <c r="E37" s="9"/>
      <c r="H37" t="str">
        <f>A37</f>
        <v>Abbott Alinity</v>
      </c>
      <c r="I37" t="str">
        <f>IF(AND(C37="", D37=""), "", A37)</f>
        <v>Abbott Alinity</v>
      </c>
      <c r="J37" s="9">
        <f t="shared" ref="J37:J38" si="0">C37</f>
        <v>17.120234604105573</v>
      </c>
      <c r="K37">
        <f>B37</f>
        <v>20</v>
      </c>
      <c r="L37" cm="1">
        <f t="array" ref="L37">_xlfn.IFS(I37=$H$40,K37,I37=$I$40,K37,I37=$J$40,K37)</f>
        <v>20</v>
      </c>
      <c r="M37" s="9">
        <f>IF(J37&lt;=L37,J37,NA())</f>
        <v>17.120234604105573</v>
      </c>
      <c r="N37" s="9" t="e">
        <f>IF(J37&gt;L37,J37,NA())</f>
        <v>#N/A</v>
      </c>
    </row>
    <row r="38" spans="1:14" x14ac:dyDescent="0.45">
      <c r="A38" s="8" t="s">
        <v>1030</v>
      </c>
      <c r="B38" s="9">
        <v>35</v>
      </c>
      <c r="C38" s="9"/>
      <c r="D38" s="9"/>
      <c r="E38" s="9"/>
      <c r="H38" t="str">
        <f>A38</f>
        <v>Roche Cobas 8000</v>
      </c>
      <c r="I38" t="str">
        <f>IF(AND(C38="", D38=""), "", A38)</f>
        <v/>
      </c>
      <c r="J38" s="9">
        <f t="shared" si="0"/>
        <v>0</v>
      </c>
      <c r="K38">
        <f>B38</f>
        <v>35</v>
      </c>
      <c r="L38" t="e" cm="1">
        <f t="array" ref="L38">_xlfn.IFS(I38=$H$40,K38,I38=$I$40,K38,I38=$J$40,K38)</f>
        <v>#N/A</v>
      </c>
      <c r="M38" s="9" t="e">
        <f>IF(J38&lt;=L38,J38,NA())</f>
        <v>#N/A</v>
      </c>
      <c r="N38" s="9" t="e">
        <f>IF(J38&gt;L38,J38,NA())</f>
        <v>#N/A</v>
      </c>
    </row>
    <row r="39" spans="1:14" x14ac:dyDescent="0.45">
      <c r="A39" s="8" t="s">
        <v>12</v>
      </c>
      <c r="B39" s="9">
        <v>35</v>
      </c>
      <c r="C39" s="9">
        <v>17.120234604105573</v>
      </c>
      <c r="D39" s="9">
        <v>17.120234604105573</v>
      </c>
      <c r="E39" s="9"/>
    </row>
    <row r="40" spans="1:14" x14ac:dyDescent="0.45">
      <c r="G40" s="15" t="s">
        <v>1050</v>
      </c>
      <c r="H40" s="16" t="str">
        <f>A43</f>
        <v>Abbott Alinity</v>
      </c>
      <c r="I40" s="16">
        <f>A44</f>
        <v>0</v>
      </c>
      <c r="J40" s="16">
        <f>A45</f>
        <v>0</v>
      </c>
    </row>
    <row r="42" spans="1:14" x14ac:dyDescent="0.45">
      <c r="A42" s="7" t="s">
        <v>11</v>
      </c>
    </row>
    <row r="43" spans="1:14" x14ac:dyDescent="0.45">
      <c r="A43" s="8" t="s">
        <v>1024</v>
      </c>
    </row>
    <row r="48" spans="1:14" x14ac:dyDescent="0.45">
      <c r="A48" s="7" t="s">
        <v>9</v>
      </c>
      <c r="B48" s="7" t="s">
        <v>1051</v>
      </c>
    </row>
    <row r="49" spans="1:11" x14ac:dyDescent="0.45">
      <c r="A49" s="7" t="s">
        <v>11</v>
      </c>
      <c r="B49" t="s">
        <v>1034</v>
      </c>
      <c r="C49" t="s">
        <v>1036</v>
      </c>
      <c r="D49" t="s">
        <v>1025</v>
      </c>
      <c r="E49" t="s">
        <v>12</v>
      </c>
      <c r="G49" s="10" t="s">
        <v>1080</v>
      </c>
      <c r="H49" s="10" t="s">
        <v>1079</v>
      </c>
      <c r="I49" t="s">
        <v>1081</v>
      </c>
      <c r="J49" t="s">
        <v>1036</v>
      </c>
      <c r="K49" t="s">
        <v>1082</v>
      </c>
    </row>
    <row r="50" spans="1:11" x14ac:dyDescent="0.45">
      <c r="A50" s="8" t="s">
        <v>1035</v>
      </c>
      <c r="B50" s="4">
        <v>18</v>
      </c>
      <c r="C50" s="4">
        <v>2</v>
      </c>
      <c r="D50" s="4"/>
      <c r="E50" s="4">
        <v>20</v>
      </c>
      <c r="H50" t="s">
        <v>1058</v>
      </c>
      <c r="I50" s="4">
        <f>IF(B50=0,NA(),B50)</f>
        <v>18</v>
      </c>
      <c r="J50" s="4">
        <f t="shared" ref="J50:K51" si="1">IF(C50=0,NA(),C50)</f>
        <v>2</v>
      </c>
      <c r="K50" s="4" t="e">
        <f t="shared" si="1"/>
        <v>#N/A</v>
      </c>
    </row>
    <row r="51" spans="1:11" x14ac:dyDescent="0.45">
      <c r="A51" s="8" t="s">
        <v>1</v>
      </c>
      <c r="B51" s="4"/>
      <c r="C51" s="4"/>
      <c r="D51" s="4">
        <v>321</v>
      </c>
      <c r="E51" s="4">
        <v>321</v>
      </c>
      <c r="H51" t="s">
        <v>1</v>
      </c>
      <c r="I51" s="4" t="e">
        <f>IF(B51=0,NA(),B51)</f>
        <v>#N/A</v>
      </c>
      <c r="J51" s="4" t="e">
        <f t="shared" si="1"/>
        <v>#N/A</v>
      </c>
      <c r="K51" s="4">
        <f t="shared" si="1"/>
        <v>321</v>
      </c>
    </row>
    <row r="52" spans="1:11" x14ac:dyDescent="0.45">
      <c r="A52" s="8" t="s">
        <v>12</v>
      </c>
      <c r="B52" s="4">
        <v>18</v>
      </c>
      <c r="C52" s="4">
        <v>2</v>
      </c>
      <c r="D52" s="4">
        <v>321</v>
      </c>
      <c r="E52" s="4">
        <v>341</v>
      </c>
    </row>
    <row r="55" spans="1:11" x14ac:dyDescent="0.45">
      <c r="A55" s="7" t="s">
        <v>11</v>
      </c>
      <c r="B55" t="s">
        <v>9</v>
      </c>
      <c r="C55" t="s">
        <v>13</v>
      </c>
      <c r="D55" t="s">
        <v>1043</v>
      </c>
    </row>
    <row r="56" spans="1:11" x14ac:dyDescent="0.45">
      <c r="A56" s="8" t="s">
        <v>1028</v>
      </c>
      <c r="B56" s="4">
        <v>75</v>
      </c>
      <c r="C56" s="4">
        <v>75</v>
      </c>
      <c r="D56" s="14">
        <v>0.08</v>
      </c>
    </row>
    <row r="57" spans="1:11" x14ac:dyDescent="0.45">
      <c r="A57" s="8" t="s">
        <v>1037</v>
      </c>
      <c r="B57" s="4">
        <v>70</v>
      </c>
      <c r="C57" s="4">
        <v>70</v>
      </c>
      <c r="D57" s="14">
        <v>5.7142857142857141E-2</v>
      </c>
    </row>
    <row r="58" spans="1:11" x14ac:dyDescent="0.45">
      <c r="A58" s="8" t="s">
        <v>1038</v>
      </c>
      <c r="B58" s="4">
        <v>69</v>
      </c>
      <c r="C58" s="4">
        <v>69</v>
      </c>
      <c r="D58" s="14">
        <v>2.8985507246376812E-2</v>
      </c>
    </row>
    <row r="59" spans="1:11" x14ac:dyDescent="0.45">
      <c r="A59" s="8" t="s">
        <v>1039</v>
      </c>
      <c r="B59" s="4">
        <v>67</v>
      </c>
      <c r="C59" s="4">
        <v>67</v>
      </c>
      <c r="D59" s="14">
        <v>7.4626865671641784E-2</v>
      </c>
    </row>
    <row r="60" spans="1:11" x14ac:dyDescent="0.45">
      <c r="A60" s="8" t="s">
        <v>1040</v>
      </c>
      <c r="B60" s="4">
        <v>60</v>
      </c>
      <c r="C60" s="4">
        <v>60</v>
      </c>
      <c r="D60" s="14">
        <v>0.05</v>
      </c>
    </row>
    <row r="61" spans="1:11" x14ac:dyDescent="0.45">
      <c r="A61" s="8" t="s">
        <v>12</v>
      </c>
      <c r="B61" s="4">
        <v>341</v>
      </c>
      <c r="C61" s="4">
        <v>341</v>
      </c>
      <c r="D61" s="14">
        <v>5.865102639296188E-2</v>
      </c>
    </row>
    <row r="64" spans="1:11" x14ac:dyDescent="0.45">
      <c r="A64" s="7" t="s">
        <v>9</v>
      </c>
      <c r="B64" s="7" t="s">
        <v>1051</v>
      </c>
    </row>
    <row r="65" spans="1:6" x14ac:dyDescent="0.45">
      <c r="A65" s="7" t="s">
        <v>11</v>
      </c>
      <c r="B65" t="s">
        <v>1035</v>
      </c>
      <c r="C65" t="s">
        <v>1</v>
      </c>
      <c r="D65" t="s">
        <v>12</v>
      </c>
    </row>
    <row r="66" spans="1:6" x14ac:dyDescent="0.45">
      <c r="A66" s="8" t="s">
        <v>1024</v>
      </c>
      <c r="B66" s="4">
        <v>20</v>
      </c>
      <c r="C66" s="4">
        <v>321</v>
      </c>
      <c r="D66" s="4">
        <v>341</v>
      </c>
    </row>
    <row r="67" spans="1:6" x14ac:dyDescent="0.45">
      <c r="A67" s="8" t="s">
        <v>12</v>
      </c>
      <c r="B67" s="4">
        <v>20</v>
      </c>
      <c r="C67" s="4">
        <v>321</v>
      </c>
      <c r="D67" s="4">
        <v>341</v>
      </c>
    </row>
    <row r="70" spans="1:6" x14ac:dyDescent="0.45">
      <c r="D70" s="4"/>
    </row>
    <row r="72" spans="1:6" x14ac:dyDescent="0.45">
      <c r="A72" s="7" t="s">
        <v>9</v>
      </c>
      <c r="B72" s="7" t="s">
        <v>1051</v>
      </c>
    </row>
    <row r="73" spans="1:6" x14ac:dyDescent="0.45">
      <c r="A73" s="7" t="s">
        <v>11</v>
      </c>
      <c r="B73" t="s">
        <v>1033</v>
      </c>
      <c r="C73" t="s">
        <v>1031</v>
      </c>
      <c r="D73" t="s">
        <v>1026</v>
      </c>
      <c r="E73" t="s">
        <v>1032</v>
      </c>
      <c r="F73" t="s">
        <v>12</v>
      </c>
    </row>
    <row r="74" spans="1:6" x14ac:dyDescent="0.45">
      <c r="A74" s="8" t="s">
        <v>1024</v>
      </c>
      <c r="B74" s="4">
        <v>90</v>
      </c>
      <c r="C74" s="4">
        <v>77</v>
      </c>
      <c r="D74" s="4">
        <v>78</v>
      </c>
      <c r="E74" s="4">
        <v>96</v>
      </c>
      <c r="F74" s="4">
        <v>341</v>
      </c>
    </row>
    <row r="75" spans="1:6" x14ac:dyDescent="0.45">
      <c r="A75" s="8" t="s">
        <v>12</v>
      </c>
      <c r="B75" s="4">
        <v>90</v>
      </c>
      <c r="C75" s="4">
        <v>77</v>
      </c>
      <c r="D75" s="4">
        <v>78</v>
      </c>
      <c r="E75" s="4">
        <v>96</v>
      </c>
      <c r="F75" s="4">
        <v>341</v>
      </c>
    </row>
    <row r="80" spans="1:6" x14ac:dyDescent="0.45">
      <c r="B80" s="7" t="s">
        <v>1051</v>
      </c>
    </row>
    <row r="81" spans="1:5" x14ac:dyDescent="0.45">
      <c r="A81" s="7" t="s">
        <v>1085</v>
      </c>
      <c r="B81" t="s">
        <v>1024</v>
      </c>
      <c r="C81" t="s">
        <v>1029</v>
      </c>
      <c r="D81" t="s">
        <v>1030</v>
      </c>
      <c r="E81" t="s">
        <v>12</v>
      </c>
    </row>
    <row r="82" spans="1:5" x14ac:dyDescent="0.45">
      <c r="A82" s="8" t="s">
        <v>1083</v>
      </c>
      <c r="B82" s="22">
        <v>5838</v>
      </c>
      <c r="C82" s="22">
        <v>18512</v>
      </c>
      <c r="D82" s="22">
        <v>12563</v>
      </c>
      <c r="E82" s="22">
        <v>36913</v>
      </c>
    </row>
    <row r="83" spans="1:5" x14ac:dyDescent="0.45">
      <c r="A83" s="8" t="s">
        <v>1045</v>
      </c>
      <c r="B83" s="9">
        <v>17.120234604105573</v>
      </c>
      <c r="C83" s="9">
        <v>55.095238095238095</v>
      </c>
      <c r="D83" s="9">
        <v>38.89473684210526</v>
      </c>
      <c r="E83" s="9">
        <v>36.912999999999997</v>
      </c>
    </row>
    <row r="84" spans="1:5" x14ac:dyDescent="0.45">
      <c r="A84" s="8" t="s">
        <v>1084</v>
      </c>
      <c r="B84" s="22">
        <v>948</v>
      </c>
      <c r="C84" s="22">
        <v>1258</v>
      </c>
      <c r="D84" s="22">
        <v>1027</v>
      </c>
      <c r="E84" s="22">
        <v>3233</v>
      </c>
    </row>
    <row r="85" spans="1:5" x14ac:dyDescent="0.45">
      <c r="A85" s="8" t="s">
        <v>1046</v>
      </c>
      <c r="B85" s="9">
        <v>2.7800586510263932</v>
      </c>
      <c r="C85" s="9">
        <v>3.7440476190476191</v>
      </c>
      <c r="D85" s="9">
        <v>3.1795665634674921</v>
      </c>
      <c r="E85" s="9">
        <v>3.2330000000000001</v>
      </c>
    </row>
    <row r="86" spans="1:5" x14ac:dyDescent="0.45">
      <c r="A86" s="8" t="s">
        <v>1047</v>
      </c>
      <c r="B86" s="9">
        <v>16</v>
      </c>
      <c r="C86" s="9">
        <v>55.65625</v>
      </c>
      <c r="D86" s="9">
        <v>37.925925925925924</v>
      </c>
      <c r="E86" s="9">
        <v>39.556962025316459</v>
      </c>
    </row>
    <row r="87" spans="1:5" x14ac:dyDescent="0.45">
      <c r="A87" s="8" t="s">
        <v>1086</v>
      </c>
      <c r="B87" s="9">
        <v>25.45</v>
      </c>
      <c r="C87" s="9">
        <v>24.96875</v>
      </c>
      <c r="D87" s="9">
        <v>22.592592592592592</v>
      </c>
      <c r="E87" s="9">
        <v>24.278481012658229</v>
      </c>
    </row>
    <row r="88" spans="1:5" x14ac:dyDescent="0.45">
      <c r="A88" s="8" t="s">
        <v>1042</v>
      </c>
      <c r="B88" s="14">
        <v>0.94134897360703818</v>
      </c>
      <c r="C88" s="14">
        <v>0.90476190476190477</v>
      </c>
      <c r="D88" s="14">
        <v>0.91640866873065019</v>
      </c>
      <c r="E88" s="14">
        <v>0.92100000000000004</v>
      </c>
    </row>
    <row r="89" spans="1:5" x14ac:dyDescent="0.45">
      <c r="A89" s="8" t="s">
        <v>1043</v>
      </c>
      <c r="B89" s="14">
        <v>5.865102639296188E-2</v>
      </c>
      <c r="C89" s="14">
        <v>9.5238095238095233E-2</v>
      </c>
      <c r="D89" s="14">
        <v>8.3591331269349839E-2</v>
      </c>
      <c r="E89" s="14">
        <v>7.9000000000000001E-2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06F28-627F-4DCA-8114-7F1C7DA2A641}">
  <sheetPr>
    <tabColor theme="0" tint="-0.499984740745262"/>
  </sheetPr>
  <dimension ref="A1:K1003"/>
  <sheetViews>
    <sheetView topLeftCell="A975" workbookViewId="0">
      <selection activeCell="A81" sqref="A81:E89"/>
    </sheetView>
  </sheetViews>
  <sheetFormatPr defaultRowHeight="14.25" x14ac:dyDescent="0.45"/>
  <cols>
    <col min="1" max="1" width="11.1328125" bestFit="1" customWidth="1"/>
    <col min="2" max="2" width="16.86328125" bestFit="1" customWidth="1"/>
    <col min="3" max="3" width="21" bestFit="1" customWidth="1"/>
    <col min="4" max="4" width="23.73046875" bestFit="1" customWidth="1"/>
    <col min="5" max="5" width="16.265625" bestFit="1" customWidth="1"/>
    <col min="6" max="6" width="21.3984375" bestFit="1" customWidth="1"/>
    <col min="7" max="7" width="16.73046875" bestFit="1" customWidth="1"/>
    <col min="8" max="8" width="15.53125" bestFit="1" customWidth="1"/>
    <col min="9" max="9" width="31.6640625" bestFit="1" customWidth="1"/>
    <col min="10" max="10" width="17.1328125" bestFit="1" customWidth="1"/>
    <col min="11" max="11" width="13.265625" bestFit="1" customWidth="1"/>
  </cols>
  <sheetData>
    <row r="1" spans="1:11" s="2" customFormat="1" ht="28.5" x14ac:dyDescent="0.85">
      <c r="A1" s="3" t="s">
        <v>7</v>
      </c>
    </row>
    <row r="3" spans="1:11" x14ac:dyDescent="0.45">
      <c r="A3" t="s">
        <v>1014</v>
      </c>
      <c r="B3" t="s">
        <v>1015</v>
      </c>
      <c r="C3" t="s">
        <v>1016</v>
      </c>
      <c r="D3" t="s">
        <v>1017</v>
      </c>
      <c r="E3" t="s">
        <v>1018</v>
      </c>
      <c r="F3" t="s">
        <v>1019</v>
      </c>
      <c r="G3" t="s">
        <v>1020</v>
      </c>
      <c r="H3" t="s">
        <v>1021</v>
      </c>
      <c r="I3" t="s">
        <v>1022</v>
      </c>
      <c r="J3" t="s">
        <v>0</v>
      </c>
      <c r="K3" t="s">
        <v>1023</v>
      </c>
    </row>
    <row r="4" spans="1:11" x14ac:dyDescent="0.45">
      <c r="A4" t="s">
        <v>14</v>
      </c>
      <c r="B4" t="s">
        <v>1024</v>
      </c>
      <c r="C4">
        <v>24</v>
      </c>
      <c r="D4">
        <v>1</v>
      </c>
      <c r="E4" t="s">
        <v>1025</v>
      </c>
      <c r="F4" t="s">
        <v>1026</v>
      </c>
      <c r="G4" t="s">
        <v>1</v>
      </c>
      <c r="H4" t="s">
        <v>2</v>
      </c>
      <c r="I4" t="s">
        <v>1027</v>
      </c>
      <c r="J4" s="1">
        <v>46174</v>
      </c>
      <c r="K4" t="s">
        <v>1028</v>
      </c>
    </row>
    <row r="5" spans="1:11" x14ac:dyDescent="0.45">
      <c r="A5" t="s">
        <v>15</v>
      </c>
      <c r="B5" t="s">
        <v>1029</v>
      </c>
      <c r="C5">
        <v>55</v>
      </c>
      <c r="D5">
        <v>3</v>
      </c>
      <c r="E5" t="s">
        <v>1025</v>
      </c>
      <c r="F5" t="s">
        <v>1026</v>
      </c>
      <c r="G5" t="s">
        <v>1</v>
      </c>
      <c r="H5" t="s">
        <v>2</v>
      </c>
      <c r="I5" t="s">
        <v>1027</v>
      </c>
      <c r="J5" s="1">
        <v>46174</v>
      </c>
      <c r="K5" t="s">
        <v>1028</v>
      </c>
    </row>
    <row r="6" spans="1:11" x14ac:dyDescent="0.45">
      <c r="A6" t="s">
        <v>16</v>
      </c>
      <c r="B6" t="s">
        <v>1030</v>
      </c>
      <c r="C6">
        <v>40</v>
      </c>
      <c r="D6">
        <v>0</v>
      </c>
      <c r="E6" t="s">
        <v>1025</v>
      </c>
      <c r="F6" t="s">
        <v>1031</v>
      </c>
      <c r="G6" t="s">
        <v>1</v>
      </c>
      <c r="H6" t="s">
        <v>2</v>
      </c>
      <c r="I6" t="s">
        <v>1027</v>
      </c>
      <c r="J6" s="1">
        <v>46174</v>
      </c>
      <c r="K6" t="s">
        <v>1028</v>
      </c>
    </row>
    <row r="7" spans="1:11" x14ac:dyDescent="0.45">
      <c r="A7" t="s">
        <v>17</v>
      </c>
      <c r="B7" t="s">
        <v>1029</v>
      </c>
      <c r="C7">
        <v>47</v>
      </c>
      <c r="D7">
        <v>1</v>
      </c>
      <c r="E7" t="s">
        <v>1025</v>
      </c>
      <c r="F7" t="s">
        <v>1032</v>
      </c>
      <c r="G7" t="s">
        <v>1</v>
      </c>
      <c r="H7" t="s">
        <v>2</v>
      </c>
      <c r="I7" t="s">
        <v>1027</v>
      </c>
      <c r="J7" s="1">
        <v>46174</v>
      </c>
      <c r="K7" t="s">
        <v>1028</v>
      </c>
    </row>
    <row r="8" spans="1:11" x14ac:dyDescent="0.45">
      <c r="A8" t="s">
        <v>18</v>
      </c>
      <c r="B8" t="s">
        <v>1024</v>
      </c>
      <c r="C8">
        <v>18</v>
      </c>
      <c r="D8">
        <v>2</v>
      </c>
      <c r="E8" t="s">
        <v>1025</v>
      </c>
      <c r="F8" t="s">
        <v>1032</v>
      </c>
      <c r="G8" t="s">
        <v>1</v>
      </c>
      <c r="H8" t="s">
        <v>2</v>
      </c>
      <c r="I8" t="s">
        <v>1027</v>
      </c>
      <c r="J8" s="1">
        <v>46174</v>
      </c>
      <c r="K8" t="s">
        <v>1028</v>
      </c>
    </row>
    <row r="9" spans="1:11" x14ac:dyDescent="0.45">
      <c r="A9" t="s">
        <v>19</v>
      </c>
      <c r="B9" t="s">
        <v>1030</v>
      </c>
      <c r="C9">
        <v>43</v>
      </c>
      <c r="D9">
        <v>0</v>
      </c>
      <c r="E9" t="s">
        <v>1025</v>
      </c>
      <c r="F9" t="s">
        <v>1033</v>
      </c>
      <c r="G9" t="s">
        <v>1</v>
      </c>
      <c r="H9" t="s">
        <v>2</v>
      </c>
      <c r="I9" t="s">
        <v>1027</v>
      </c>
      <c r="J9" s="1">
        <v>46174</v>
      </c>
      <c r="K9" t="s">
        <v>1028</v>
      </c>
    </row>
    <row r="10" spans="1:11" x14ac:dyDescent="0.45">
      <c r="A10" t="s">
        <v>20</v>
      </c>
      <c r="B10" t="s">
        <v>1030</v>
      </c>
      <c r="C10">
        <v>37</v>
      </c>
      <c r="D10">
        <v>1</v>
      </c>
      <c r="E10" t="s">
        <v>1025</v>
      </c>
      <c r="F10" t="s">
        <v>1031</v>
      </c>
      <c r="G10" t="s">
        <v>1</v>
      </c>
      <c r="H10" t="s">
        <v>2</v>
      </c>
      <c r="I10" t="s">
        <v>1027</v>
      </c>
      <c r="J10" s="1">
        <v>46174</v>
      </c>
      <c r="K10" t="s">
        <v>1028</v>
      </c>
    </row>
    <row r="11" spans="1:11" x14ac:dyDescent="0.45">
      <c r="A11" t="s">
        <v>21</v>
      </c>
      <c r="B11" t="s">
        <v>1024</v>
      </c>
      <c r="C11">
        <v>13</v>
      </c>
      <c r="D11">
        <v>0</v>
      </c>
      <c r="E11" t="s">
        <v>1025</v>
      </c>
      <c r="F11" t="s">
        <v>1032</v>
      </c>
      <c r="G11" t="s">
        <v>1</v>
      </c>
      <c r="H11" t="s">
        <v>2</v>
      </c>
      <c r="I11" t="s">
        <v>1027</v>
      </c>
      <c r="J11" s="1">
        <v>46174</v>
      </c>
      <c r="K11" t="s">
        <v>1028</v>
      </c>
    </row>
    <row r="12" spans="1:11" x14ac:dyDescent="0.45">
      <c r="A12" t="s">
        <v>22</v>
      </c>
      <c r="B12" t="s">
        <v>1024</v>
      </c>
      <c r="C12">
        <v>17</v>
      </c>
      <c r="D12">
        <v>4</v>
      </c>
      <c r="E12" t="s">
        <v>1025</v>
      </c>
      <c r="F12" t="s">
        <v>1031</v>
      </c>
      <c r="G12" t="s">
        <v>1</v>
      </c>
      <c r="H12" t="s">
        <v>2</v>
      </c>
      <c r="I12" t="s">
        <v>1027</v>
      </c>
      <c r="J12" s="1">
        <v>46174</v>
      </c>
      <c r="K12" t="s">
        <v>1028</v>
      </c>
    </row>
    <row r="13" spans="1:11" x14ac:dyDescent="0.45">
      <c r="A13" t="s">
        <v>23</v>
      </c>
      <c r="B13" t="s">
        <v>1024</v>
      </c>
      <c r="C13">
        <v>23</v>
      </c>
      <c r="D13">
        <v>0</v>
      </c>
      <c r="E13" t="s">
        <v>1025</v>
      </c>
      <c r="F13" t="s">
        <v>1032</v>
      </c>
      <c r="G13" t="s">
        <v>1</v>
      </c>
      <c r="H13" t="s">
        <v>2</v>
      </c>
      <c r="I13" t="s">
        <v>1027</v>
      </c>
      <c r="J13" s="1">
        <v>46174</v>
      </c>
      <c r="K13" t="s">
        <v>1028</v>
      </c>
    </row>
    <row r="14" spans="1:11" x14ac:dyDescent="0.45">
      <c r="A14" t="s">
        <v>24</v>
      </c>
      <c r="B14" t="s">
        <v>1030</v>
      </c>
      <c r="C14">
        <v>48</v>
      </c>
      <c r="D14">
        <v>1</v>
      </c>
      <c r="E14" t="s">
        <v>1025</v>
      </c>
      <c r="F14" t="s">
        <v>1031</v>
      </c>
      <c r="G14" t="s">
        <v>1</v>
      </c>
      <c r="H14" t="s">
        <v>2</v>
      </c>
      <c r="I14" t="s">
        <v>1027</v>
      </c>
      <c r="J14" s="1">
        <v>46174</v>
      </c>
      <c r="K14" t="s">
        <v>1028</v>
      </c>
    </row>
    <row r="15" spans="1:11" x14ac:dyDescent="0.45">
      <c r="A15" t="s">
        <v>25</v>
      </c>
      <c r="B15" t="s">
        <v>1029</v>
      </c>
      <c r="C15">
        <v>46</v>
      </c>
      <c r="D15">
        <v>1</v>
      </c>
      <c r="E15" t="s">
        <v>1025</v>
      </c>
      <c r="F15" t="s">
        <v>1026</v>
      </c>
      <c r="G15" t="s">
        <v>1</v>
      </c>
      <c r="H15" t="s">
        <v>2</v>
      </c>
      <c r="I15" t="s">
        <v>1027</v>
      </c>
      <c r="J15" s="1">
        <v>46174</v>
      </c>
      <c r="K15" t="s">
        <v>1028</v>
      </c>
    </row>
    <row r="16" spans="1:11" x14ac:dyDescent="0.45">
      <c r="A16" t="s">
        <v>26</v>
      </c>
      <c r="B16" t="s">
        <v>1024</v>
      </c>
      <c r="C16">
        <v>17</v>
      </c>
      <c r="D16">
        <v>0</v>
      </c>
      <c r="E16" t="s">
        <v>1025</v>
      </c>
      <c r="F16" t="s">
        <v>1031</v>
      </c>
      <c r="G16" t="s">
        <v>1</v>
      </c>
      <c r="H16" t="s">
        <v>2</v>
      </c>
      <c r="I16" t="s">
        <v>1027</v>
      </c>
      <c r="J16" s="1">
        <v>46174</v>
      </c>
      <c r="K16" t="s">
        <v>1028</v>
      </c>
    </row>
    <row r="17" spans="1:11" x14ac:dyDescent="0.45">
      <c r="A17" t="s">
        <v>27</v>
      </c>
      <c r="B17" t="s">
        <v>1029</v>
      </c>
      <c r="C17">
        <v>62</v>
      </c>
      <c r="D17">
        <v>0</v>
      </c>
      <c r="E17" t="s">
        <v>1025</v>
      </c>
      <c r="F17" t="s">
        <v>1031</v>
      </c>
      <c r="G17" t="s">
        <v>1</v>
      </c>
      <c r="H17" t="s">
        <v>2</v>
      </c>
      <c r="I17" t="s">
        <v>1027</v>
      </c>
      <c r="J17" s="1">
        <v>46174</v>
      </c>
      <c r="K17" t="s">
        <v>1028</v>
      </c>
    </row>
    <row r="18" spans="1:11" x14ac:dyDescent="0.45">
      <c r="A18" t="s">
        <v>28</v>
      </c>
      <c r="B18" t="s">
        <v>1030</v>
      </c>
      <c r="C18">
        <v>46</v>
      </c>
      <c r="D18">
        <v>1</v>
      </c>
      <c r="E18" t="s">
        <v>1025</v>
      </c>
      <c r="F18" t="s">
        <v>1033</v>
      </c>
      <c r="G18" t="s">
        <v>1</v>
      </c>
      <c r="H18" t="s">
        <v>2</v>
      </c>
      <c r="I18" t="s">
        <v>1027</v>
      </c>
      <c r="J18" s="1">
        <v>46174</v>
      </c>
      <c r="K18" t="s">
        <v>1028</v>
      </c>
    </row>
    <row r="19" spans="1:11" x14ac:dyDescent="0.45">
      <c r="A19" t="s">
        <v>29</v>
      </c>
      <c r="B19" t="s">
        <v>1024</v>
      </c>
      <c r="C19">
        <v>11</v>
      </c>
      <c r="D19">
        <v>3</v>
      </c>
      <c r="E19" t="s">
        <v>1025</v>
      </c>
      <c r="F19" t="s">
        <v>1026</v>
      </c>
      <c r="G19" t="s">
        <v>1</v>
      </c>
      <c r="H19" t="s">
        <v>2</v>
      </c>
      <c r="I19" t="s">
        <v>1027</v>
      </c>
      <c r="J19" s="1">
        <v>46174</v>
      </c>
      <c r="K19" t="s">
        <v>1028</v>
      </c>
    </row>
    <row r="20" spans="1:11" x14ac:dyDescent="0.45">
      <c r="A20" t="s">
        <v>30</v>
      </c>
      <c r="B20" t="s">
        <v>1024</v>
      </c>
      <c r="C20">
        <v>18</v>
      </c>
      <c r="D20">
        <v>1</v>
      </c>
      <c r="E20" t="s">
        <v>1025</v>
      </c>
      <c r="F20" t="s">
        <v>1026</v>
      </c>
      <c r="G20" t="s">
        <v>1</v>
      </c>
      <c r="H20" t="s">
        <v>2</v>
      </c>
      <c r="I20" t="s">
        <v>1027</v>
      </c>
      <c r="J20" s="1">
        <v>46174</v>
      </c>
      <c r="K20" t="s">
        <v>1028</v>
      </c>
    </row>
    <row r="21" spans="1:11" x14ac:dyDescent="0.45">
      <c r="A21" t="s">
        <v>31</v>
      </c>
      <c r="B21" t="s">
        <v>1024</v>
      </c>
      <c r="C21">
        <v>20</v>
      </c>
      <c r="D21">
        <v>5</v>
      </c>
      <c r="E21" t="s">
        <v>1025</v>
      </c>
      <c r="F21" t="s">
        <v>1032</v>
      </c>
      <c r="G21" t="s">
        <v>1</v>
      </c>
      <c r="H21" t="s">
        <v>2</v>
      </c>
      <c r="I21" t="s">
        <v>1027</v>
      </c>
      <c r="J21" s="1">
        <v>46174</v>
      </c>
      <c r="K21" t="s">
        <v>1028</v>
      </c>
    </row>
    <row r="22" spans="1:11" x14ac:dyDescent="0.45">
      <c r="A22" t="s">
        <v>32</v>
      </c>
      <c r="B22" t="s">
        <v>1030</v>
      </c>
      <c r="C22">
        <v>48</v>
      </c>
      <c r="D22">
        <v>0</v>
      </c>
      <c r="E22" t="s">
        <v>1025</v>
      </c>
      <c r="F22" t="s">
        <v>1032</v>
      </c>
      <c r="G22" t="s">
        <v>1</v>
      </c>
      <c r="H22" t="s">
        <v>2</v>
      </c>
      <c r="I22" t="s">
        <v>1027</v>
      </c>
      <c r="J22" s="1">
        <v>46174</v>
      </c>
      <c r="K22" t="s">
        <v>1028</v>
      </c>
    </row>
    <row r="23" spans="1:11" x14ac:dyDescent="0.45">
      <c r="A23" t="s">
        <v>33</v>
      </c>
      <c r="B23" t="s">
        <v>1030</v>
      </c>
      <c r="C23">
        <v>31</v>
      </c>
      <c r="D23">
        <v>2</v>
      </c>
      <c r="E23" t="s">
        <v>1025</v>
      </c>
      <c r="F23" t="s">
        <v>1032</v>
      </c>
      <c r="G23" t="s">
        <v>1</v>
      </c>
      <c r="H23" t="s">
        <v>2</v>
      </c>
      <c r="I23" t="s">
        <v>1027</v>
      </c>
      <c r="J23" s="1">
        <v>46174</v>
      </c>
      <c r="K23" t="s">
        <v>1028</v>
      </c>
    </row>
    <row r="24" spans="1:11" x14ac:dyDescent="0.45">
      <c r="A24" t="s">
        <v>34</v>
      </c>
      <c r="B24" t="s">
        <v>1029</v>
      </c>
      <c r="C24">
        <v>63</v>
      </c>
      <c r="D24">
        <v>1</v>
      </c>
      <c r="E24" t="s">
        <v>1025</v>
      </c>
      <c r="F24" t="s">
        <v>1031</v>
      </c>
      <c r="G24" t="s">
        <v>1</v>
      </c>
      <c r="H24" t="s">
        <v>2</v>
      </c>
      <c r="I24" t="s">
        <v>1027</v>
      </c>
      <c r="J24" s="1">
        <v>46174</v>
      </c>
      <c r="K24" t="s">
        <v>1028</v>
      </c>
    </row>
    <row r="25" spans="1:11" x14ac:dyDescent="0.45">
      <c r="A25" t="s">
        <v>35</v>
      </c>
      <c r="B25" t="s">
        <v>1029</v>
      </c>
      <c r="C25">
        <v>57</v>
      </c>
      <c r="D25">
        <v>0</v>
      </c>
      <c r="E25" t="s">
        <v>1025</v>
      </c>
      <c r="F25" t="s">
        <v>1031</v>
      </c>
      <c r="G25" t="s">
        <v>1</v>
      </c>
      <c r="H25" t="s">
        <v>2</v>
      </c>
      <c r="I25" t="s">
        <v>1027</v>
      </c>
      <c r="J25" s="1">
        <v>46174</v>
      </c>
      <c r="K25" t="s">
        <v>1028</v>
      </c>
    </row>
    <row r="26" spans="1:11" x14ac:dyDescent="0.45">
      <c r="A26" t="s">
        <v>36</v>
      </c>
      <c r="B26" t="s">
        <v>1024</v>
      </c>
      <c r="C26">
        <v>25</v>
      </c>
      <c r="D26">
        <v>29</v>
      </c>
      <c r="E26" t="s">
        <v>1034</v>
      </c>
      <c r="F26" t="s">
        <v>1031</v>
      </c>
      <c r="G26" t="s">
        <v>1035</v>
      </c>
      <c r="H26" t="s">
        <v>3</v>
      </c>
      <c r="I26" t="s">
        <v>1027</v>
      </c>
      <c r="J26" s="1">
        <v>46174</v>
      </c>
      <c r="K26" t="s">
        <v>1028</v>
      </c>
    </row>
    <row r="27" spans="1:11" x14ac:dyDescent="0.45">
      <c r="A27" t="s">
        <v>37</v>
      </c>
      <c r="B27" t="s">
        <v>1024</v>
      </c>
      <c r="C27">
        <v>12</v>
      </c>
      <c r="D27">
        <v>4</v>
      </c>
      <c r="E27" t="s">
        <v>1025</v>
      </c>
      <c r="F27" t="s">
        <v>1026</v>
      </c>
      <c r="G27" t="s">
        <v>1</v>
      </c>
      <c r="H27" t="s">
        <v>2</v>
      </c>
      <c r="I27" t="s">
        <v>1027</v>
      </c>
      <c r="J27" s="1">
        <v>46174</v>
      </c>
      <c r="K27" t="s">
        <v>1028</v>
      </c>
    </row>
    <row r="28" spans="1:11" x14ac:dyDescent="0.45">
      <c r="A28" t="s">
        <v>38</v>
      </c>
      <c r="B28" t="s">
        <v>1030</v>
      </c>
      <c r="C28">
        <v>34</v>
      </c>
      <c r="D28">
        <v>1</v>
      </c>
      <c r="E28" t="s">
        <v>1025</v>
      </c>
      <c r="F28" t="s">
        <v>1026</v>
      </c>
      <c r="G28" t="s">
        <v>1</v>
      </c>
      <c r="H28" t="s">
        <v>2</v>
      </c>
      <c r="I28" t="s">
        <v>1027</v>
      </c>
      <c r="J28" s="1">
        <v>46174</v>
      </c>
      <c r="K28" t="s">
        <v>1028</v>
      </c>
    </row>
    <row r="29" spans="1:11" x14ac:dyDescent="0.45">
      <c r="A29" t="s">
        <v>39</v>
      </c>
      <c r="B29" t="s">
        <v>1030</v>
      </c>
      <c r="C29">
        <v>35</v>
      </c>
      <c r="D29">
        <v>0</v>
      </c>
      <c r="E29" t="s">
        <v>1025</v>
      </c>
      <c r="F29" t="s">
        <v>1031</v>
      </c>
      <c r="G29" t="s">
        <v>1</v>
      </c>
      <c r="H29" t="s">
        <v>2</v>
      </c>
      <c r="I29" t="s">
        <v>1027</v>
      </c>
      <c r="J29" s="1">
        <v>46174</v>
      </c>
      <c r="K29" t="s">
        <v>1028</v>
      </c>
    </row>
    <row r="30" spans="1:11" x14ac:dyDescent="0.45">
      <c r="A30" t="s">
        <v>40</v>
      </c>
      <c r="B30" t="s">
        <v>1024</v>
      </c>
      <c r="C30">
        <v>17</v>
      </c>
      <c r="D30">
        <v>3</v>
      </c>
      <c r="E30" t="s">
        <v>1025</v>
      </c>
      <c r="F30" t="s">
        <v>1033</v>
      </c>
      <c r="G30" t="s">
        <v>1</v>
      </c>
      <c r="H30" t="s">
        <v>2</v>
      </c>
      <c r="I30" t="s">
        <v>1027</v>
      </c>
      <c r="J30" s="1">
        <v>46174</v>
      </c>
      <c r="K30" t="s">
        <v>1028</v>
      </c>
    </row>
    <row r="31" spans="1:11" x14ac:dyDescent="0.45">
      <c r="A31" t="s">
        <v>41</v>
      </c>
      <c r="B31" t="s">
        <v>1024</v>
      </c>
      <c r="C31">
        <v>25</v>
      </c>
      <c r="D31">
        <v>0</v>
      </c>
      <c r="E31" t="s">
        <v>1025</v>
      </c>
      <c r="F31" t="s">
        <v>1026</v>
      </c>
      <c r="G31" t="s">
        <v>1</v>
      </c>
      <c r="H31" t="s">
        <v>2</v>
      </c>
      <c r="I31" t="s">
        <v>1027</v>
      </c>
      <c r="J31" s="1">
        <v>46174</v>
      </c>
      <c r="K31" t="s">
        <v>1028</v>
      </c>
    </row>
    <row r="32" spans="1:11" x14ac:dyDescent="0.45">
      <c r="A32" t="s">
        <v>42</v>
      </c>
      <c r="B32" t="s">
        <v>1024</v>
      </c>
      <c r="C32">
        <v>19</v>
      </c>
      <c r="D32">
        <v>5</v>
      </c>
      <c r="E32" t="s">
        <v>1025</v>
      </c>
      <c r="F32" t="s">
        <v>1032</v>
      </c>
      <c r="G32" t="s">
        <v>1</v>
      </c>
      <c r="H32" t="s">
        <v>2</v>
      </c>
      <c r="I32" t="s">
        <v>1027</v>
      </c>
      <c r="J32" s="1">
        <v>46174</v>
      </c>
      <c r="K32" t="s">
        <v>1028</v>
      </c>
    </row>
    <row r="33" spans="1:11" x14ac:dyDescent="0.45">
      <c r="A33" t="s">
        <v>43</v>
      </c>
      <c r="B33" t="s">
        <v>1029</v>
      </c>
      <c r="C33">
        <v>53</v>
      </c>
      <c r="D33">
        <v>2</v>
      </c>
      <c r="E33" t="s">
        <v>1025</v>
      </c>
      <c r="F33" t="s">
        <v>1026</v>
      </c>
      <c r="G33" t="s">
        <v>1</v>
      </c>
      <c r="H33" t="s">
        <v>2</v>
      </c>
      <c r="I33" t="s">
        <v>1027</v>
      </c>
      <c r="J33" s="1">
        <v>46174</v>
      </c>
      <c r="K33" t="s">
        <v>1028</v>
      </c>
    </row>
    <row r="34" spans="1:11" x14ac:dyDescent="0.45">
      <c r="A34" t="s">
        <v>44</v>
      </c>
      <c r="B34" t="s">
        <v>1024</v>
      </c>
      <c r="C34">
        <v>22</v>
      </c>
      <c r="D34">
        <v>0</v>
      </c>
      <c r="E34" t="s">
        <v>1025</v>
      </c>
      <c r="F34" t="s">
        <v>1031</v>
      </c>
      <c r="G34" t="s">
        <v>1</v>
      </c>
      <c r="H34" t="s">
        <v>2</v>
      </c>
      <c r="I34" t="s">
        <v>1027</v>
      </c>
      <c r="J34" s="1">
        <v>46174</v>
      </c>
      <c r="K34" t="s">
        <v>1028</v>
      </c>
    </row>
    <row r="35" spans="1:11" x14ac:dyDescent="0.45">
      <c r="A35" t="s">
        <v>45</v>
      </c>
      <c r="B35" t="s">
        <v>1029</v>
      </c>
      <c r="C35">
        <v>65</v>
      </c>
      <c r="D35">
        <v>2</v>
      </c>
      <c r="E35" t="s">
        <v>1025</v>
      </c>
      <c r="F35" t="s">
        <v>1032</v>
      </c>
      <c r="G35" t="s">
        <v>1</v>
      </c>
      <c r="H35" t="s">
        <v>2</v>
      </c>
      <c r="I35" t="s">
        <v>1027</v>
      </c>
      <c r="J35" s="1">
        <v>46174</v>
      </c>
      <c r="K35" t="s">
        <v>1028</v>
      </c>
    </row>
    <row r="36" spans="1:11" x14ac:dyDescent="0.45">
      <c r="A36" t="s">
        <v>46</v>
      </c>
      <c r="B36" t="s">
        <v>1024</v>
      </c>
      <c r="C36">
        <v>17</v>
      </c>
      <c r="D36">
        <v>2</v>
      </c>
      <c r="E36" t="s">
        <v>1025</v>
      </c>
      <c r="F36" t="s">
        <v>1031</v>
      </c>
      <c r="G36" t="s">
        <v>1</v>
      </c>
      <c r="H36" t="s">
        <v>2</v>
      </c>
      <c r="I36" t="s">
        <v>1027</v>
      </c>
      <c r="J36" s="1">
        <v>46174</v>
      </c>
      <c r="K36" t="s">
        <v>1028</v>
      </c>
    </row>
    <row r="37" spans="1:11" x14ac:dyDescent="0.45">
      <c r="A37" t="s">
        <v>47</v>
      </c>
      <c r="B37" t="s">
        <v>1024</v>
      </c>
      <c r="C37">
        <v>25</v>
      </c>
      <c r="D37">
        <v>1</v>
      </c>
      <c r="E37" t="s">
        <v>1025</v>
      </c>
      <c r="F37" t="s">
        <v>1033</v>
      </c>
      <c r="G37" t="s">
        <v>1</v>
      </c>
      <c r="H37" t="s">
        <v>2</v>
      </c>
      <c r="I37" t="s">
        <v>1027</v>
      </c>
      <c r="J37" s="1">
        <v>46174</v>
      </c>
      <c r="K37" t="s">
        <v>1028</v>
      </c>
    </row>
    <row r="38" spans="1:11" x14ac:dyDescent="0.45">
      <c r="A38" t="s">
        <v>48</v>
      </c>
      <c r="B38" t="s">
        <v>1030</v>
      </c>
      <c r="C38">
        <v>43</v>
      </c>
      <c r="D38">
        <v>0</v>
      </c>
      <c r="E38" t="s">
        <v>1025</v>
      </c>
      <c r="F38" t="s">
        <v>1031</v>
      </c>
      <c r="G38" t="s">
        <v>1</v>
      </c>
      <c r="H38" t="s">
        <v>2</v>
      </c>
      <c r="I38" t="s">
        <v>1027</v>
      </c>
      <c r="J38" s="1">
        <v>46174</v>
      </c>
      <c r="K38" t="s">
        <v>1028</v>
      </c>
    </row>
    <row r="39" spans="1:11" x14ac:dyDescent="0.45">
      <c r="A39" t="s">
        <v>49</v>
      </c>
      <c r="B39" t="s">
        <v>1024</v>
      </c>
      <c r="C39">
        <v>19</v>
      </c>
      <c r="D39">
        <v>1</v>
      </c>
      <c r="E39" t="s">
        <v>1025</v>
      </c>
      <c r="F39" t="s">
        <v>1026</v>
      </c>
      <c r="G39" t="s">
        <v>1</v>
      </c>
      <c r="H39" t="s">
        <v>2</v>
      </c>
      <c r="I39" t="s">
        <v>1027</v>
      </c>
      <c r="J39" s="1">
        <v>46174</v>
      </c>
      <c r="K39" t="s">
        <v>1028</v>
      </c>
    </row>
    <row r="40" spans="1:11" x14ac:dyDescent="0.45">
      <c r="A40" t="s">
        <v>50</v>
      </c>
      <c r="B40" t="s">
        <v>1030</v>
      </c>
      <c r="C40">
        <v>38</v>
      </c>
      <c r="D40">
        <v>2</v>
      </c>
      <c r="E40" t="s">
        <v>1025</v>
      </c>
      <c r="F40" t="s">
        <v>1032</v>
      </c>
      <c r="G40" t="s">
        <v>1</v>
      </c>
      <c r="H40" t="s">
        <v>2</v>
      </c>
      <c r="I40" t="s">
        <v>1027</v>
      </c>
      <c r="J40" s="1">
        <v>46174</v>
      </c>
      <c r="K40" t="s">
        <v>1028</v>
      </c>
    </row>
    <row r="41" spans="1:11" x14ac:dyDescent="0.45">
      <c r="A41" t="s">
        <v>51</v>
      </c>
      <c r="B41" t="s">
        <v>1029</v>
      </c>
      <c r="C41">
        <v>49</v>
      </c>
      <c r="D41">
        <v>2</v>
      </c>
      <c r="E41" t="s">
        <v>1025</v>
      </c>
      <c r="F41" t="s">
        <v>1033</v>
      </c>
      <c r="G41" t="s">
        <v>1</v>
      </c>
      <c r="H41" t="s">
        <v>2</v>
      </c>
      <c r="I41" t="s">
        <v>1027</v>
      </c>
      <c r="J41" s="1">
        <v>46174</v>
      </c>
      <c r="K41" t="s">
        <v>1028</v>
      </c>
    </row>
    <row r="42" spans="1:11" x14ac:dyDescent="0.45">
      <c r="A42" t="s">
        <v>52</v>
      </c>
      <c r="B42" t="s">
        <v>1024</v>
      </c>
      <c r="C42">
        <v>13</v>
      </c>
      <c r="D42">
        <v>3</v>
      </c>
      <c r="E42" t="s">
        <v>1025</v>
      </c>
      <c r="F42" t="s">
        <v>1033</v>
      </c>
      <c r="G42" t="s">
        <v>1</v>
      </c>
      <c r="H42" t="s">
        <v>2</v>
      </c>
      <c r="I42" t="s">
        <v>1027</v>
      </c>
      <c r="J42" s="1">
        <v>46174</v>
      </c>
      <c r="K42" t="s">
        <v>1028</v>
      </c>
    </row>
    <row r="43" spans="1:11" x14ac:dyDescent="0.45">
      <c r="A43" t="s">
        <v>53</v>
      </c>
      <c r="B43" t="s">
        <v>1024</v>
      </c>
      <c r="C43">
        <v>22</v>
      </c>
      <c r="D43">
        <v>29</v>
      </c>
      <c r="E43" t="s">
        <v>1034</v>
      </c>
      <c r="F43" t="s">
        <v>1031</v>
      </c>
      <c r="G43" t="s">
        <v>1035</v>
      </c>
      <c r="H43" t="s">
        <v>3</v>
      </c>
      <c r="I43" t="s">
        <v>1027</v>
      </c>
      <c r="J43" s="1">
        <v>46174</v>
      </c>
      <c r="K43" t="s">
        <v>1028</v>
      </c>
    </row>
    <row r="44" spans="1:11" x14ac:dyDescent="0.45">
      <c r="A44" t="s">
        <v>54</v>
      </c>
      <c r="B44" t="s">
        <v>1029</v>
      </c>
      <c r="C44">
        <v>48</v>
      </c>
      <c r="D44">
        <v>0</v>
      </c>
      <c r="E44" t="s">
        <v>1025</v>
      </c>
      <c r="F44" t="s">
        <v>1032</v>
      </c>
      <c r="G44" t="s">
        <v>1</v>
      </c>
      <c r="H44" t="s">
        <v>2</v>
      </c>
      <c r="I44" t="s">
        <v>1027</v>
      </c>
      <c r="J44" s="1">
        <v>46174</v>
      </c>
      <c r="K44" t="s">
        <v>1028</v>
      </c>
    </row>
    <row r="45" spans="1:11" x14ac:dyDescent="0.45">
      <c r="A45" t="s">
        <v>55</v>
      </c>
      <c r="B45" t="s">
        <v>1024</v>
      </c>
      <c r="C45">
        <v>17</v>
      </c>
      <c r="D45">
        <v>0</v>
      </c>
      <c r="E45" t="s">
        <v>1025</v>
      </c>
      <c r="F45" t="s">
        <v>1032</v>
      </c>
      <c r="G45" t="s">
        <v>1</v>
      </c>
      <c r="H45" t="s">
        <v>2</v>
      </c>
      <c r="I45" t="s">
        <v>1027</v>
      </c>
      <c r="J45" s="1">
        <v>46174</v>
      </c>
      <c r="K45" t="s">
        <v>1028</v>
      </c>
    </row>
    <row r="46" spans="1:11" x14ac:dyDescent="0.45">
      <c r="A46" t="s">
        <v>56</v>
      </c>
      <c r="B46" t="s">
        <v>1030</v>
      </c>
      <c r="C46">
        <v>38</v>
      </c>
      <c r="D46">
        <v>2</v>
      </c>
      <c r="E46" t="s">
        <v>1025</v>
      </c>
      <c r="F46" t="s">
        <v>1032</v>
      </c>
      <c r="G46" t="s">
        <v>1</v>
      </c>
      <c r="H46" t="s">
        <v>2</v>
      </c>
      <c r="I46" t="s">
        <v>1027</v>
      </c>
      <c r="J46" s="1">
        <v>46174</v>
      </c>
      <c r="K46" t="s">
        <v>1028</v>
      </c>
    </row>
    <row r="47" spans="1:11" x14ac:dyDescent="0.45">
      <c r="A47" t="s">
        <v>57</v>
      </c>
      <c r="B47" t="s">
        <v>1030</v>
      </c>
      <c r="C47">
        <v>35</v>
      </c>
      <c r="D47">
        <v>0</v>
      </c>
      <c r="E47" t="s">
        <v>1025</v>
      </c>
      <c r="F47" t="s">
        <v>1033</v>
      </c>
      <c r="G47" t="s">
        <v>1</v>
      </c>
      <c r="H47" t="s">
        <v>2</v>
      </c>
      <c r="I47" t="s">
        <v>1027</v>
      </c>
      <c r="J47" s="1">
        <v>46174</v>
      </c>
      <c r="K47" t="s">
        <v>1028</v>
      </c>
    </row>
    <row r="48" spans="1:11" x14ac:dyDescent="0.45">
      <c r="A48" t="s">
        <v>58</v>
      </c>
      <c r="B48" t="s">
        <v>1029</v>
      </c>
      <c r="C48">
        <v>45</v>
      </c>
      <c r="D48">
        <v>0</v>
      </c>
      <c r="E48" t="s">
        <v>1025</v>
      </c>
      <c r="F48" t="s">
        <v>1033</v>
      </c>
      <c r="G48" t="s">
        <v>1</v>
      </c>
      <c r="H48" t="s">
        <v>2</v>
      </c>
      <c r="I48" t="s">
        <v>1027</v>
      </c>
      <c r="J48" s="1">
        <v>46174</v>
      </c>
      <c r="K48" t="s">
        <v>1028</v>
      </c>
    </row>
    <row r="49" spans="1:11" x14ac:dyDescent="0.45">
      <c r="A49" t="s">
        <v>59</v>
      </c>
      <c r="B49" t="s">
        <v>1030</v>
      </c>
      <c r="C49">
        <v>46</v>
      </c>
      <c r="D49">
        <v>1</v>
      </c>
      <c r="E49" t="s">
        <v>1025</v>
      </c>
      <c r="F49" t="s">
        <v>1032</v>
      </c>
      <c r="G49" t="s">
        <v>1</v>
      </c>
      <c r="H49" t="s">
        <v>2</v>
      </c>
      <c r="I49" t="s">
        <v>1027</v>
      </c>
      <c r="J49" s="1">
        <v>46174</v>
      </c>
      <c r="K49" t="s">
        <v>1028</v>
      </c>
    </row>
    <row r="50" spans="1:11" x14ac:dyDescent="0.45">
      <c r="A50" t="s">
        <v>60</v>
      </c>
      <c r="B50" t="s">
        <v>1024</v>
      </c>
      <c r="C50">
        <v>21</v>
      </c>
      <c r="D50">
        <v>2</v>
      </c>
      <c r="E50" t="s">
        <v>1025</v>
      </c>
      <c r="F50" t="s">
        <v>1032</v>
      </c>
      <c r="G50" t="s">
        <v>1</v>
      </c>
      <c r="H50" t="s">
        <v>2</v>
      </c>
      <c r="I50" t="s">
        <v>1027</v>
      </c>
      <c r="J50" s="1">
        <v>46174</v>
      </c>
      <c r="K50" t="s">
        <v>1028</v>
      </c>
    </row>
    <row r="51" spans="1:11" x14ac:dyDescent="0.45">
      <c r="A51" t="s">
        <v>61</v>
      </c>
      <c r="B51" t="s">
        <v>1030</v>
      </c>
      <c r="C51">
        <v>40</v>
      </c>
      <c r="D51">
        <v>2</v>
      </c>
      <c r="E51" t="s">
        <v>1025</v>
      </c>
      <c r="F51" t="s">
        <v>1031</v>
      </c>
      <c r="G51" t="s">
        <v>1</v>
      </c>
      <c r="H51" t="s">
        <v>2</v>
      </c>
      <c r="I51" t="s">
        <v>1027</v>
      </c>
      <c r="J51" s="1">
        <v>46174</v>
      </c>
      <c r="K51" t="s">
        <v>1028</v>
      </c>
    </row>
    <row r="52" spans="1:11" x14ac:dyDescent="0.45">
      <c r="A52" t="s">
        <v>62</v>
      </c>
      <c r="B52" t="s">
        <v>1030</v>
      </c>
      <c r="C52">
        <v>32</v>
      </c>
      <c r="D52">
        <v>1</v>
      </c>
      <c r="E52" t="s">
        <v>1025</v>
      </c>
      <c r="F52" t="s">
        <v>1031</v>
      </c>
      <c r="G52" t="s">
        <v>1</v>
      </c>
      <c r="H52" t="s">
        <v>2</v>
      </c>
      <c r="I52" t="s">
        <v>1027</v>
      </c>
      <c r="J52" s="1">
        <v>46174</v>
      </c>
      <c r="K52" t="s">
        <v>1028</v>
      </c>
    </row>
    <row r="53" spans="1:11" x14ac:dyDescent="0.45">
      <c r="A53" t="s">
        <v>63</v>
      </c>
      <c r="B53" t="s">
        <v>1029</v>
      </c>
      <c r="C53">
        <v>47</v>
      </c>
      <c r="D53">
        <v>0</v>
      </c>
      <c r="E53" t="s">
        <v>1025</v>
      </c>
      <c r="F53" t="s">
        <v>1032</v>
      </c>
      <c r="G53" t="s">
        <v>1</v>
      </c>
      <c r="H53" t="s">
        <v>2</v>
      </c>
      <c r="I53" t="s">
        <v>1027</v>
      </c>
      <c r="J53" s="1">
        <v>46174</v>
      </c>
      <c r="K53" t="s">
        <v>1028</v>
      </c>
    </row>
    <row r="54" spans="1:11" x14ac:dyDescent="0.45">
      <c r="A54" t="s">
        <v>64</v>
      </c>
      <c r="B54" t="s">
        <v>1030</v>
      </c>
      <c r="C54">
        <v>39</v>
      </c>
      <c r="D54">
        <v>1</v>
      </c>
      <c r="E54" t="s">
        <v>1025</v>
      </c>
      <c r="F54" t="s">
        <v>1033</v>
      </c>
      <c r="G54" t="s">
        <v>1</v>
      </c>
      <c r="H54" t="s">
        <v>2</v>
      </c>
      <c r="I54" t="s">
        <v>1027</v>
      </c>
      <c r="J54" s="1">
        <v>46174</v>
      </c>
      <c r="K54" t="s">
        <v>1028</v>
      </c>
    </row>
    <row r="55" spans="1:11" x14ac:dyDescent="0.45">
      <c r="A55" t="s">
        <v>65</v>
      </c>
      <c r="B55" t="s">
        <v>1029</v>
      </c>
      <c r="C55">
        <v>54</v>
      </c>
      <c r="D55">
        <v>1</v>
      </c>
      <c r="E55" t="s">
        <v>1025</v>
      </c>
      <c r="F55" t="s">
        <v>1032</v>
      </c>
      <c r="G55" t="s">
        <v>1</v>
      </c>
      <c r="H55" t="s">
        <v>2</v>
      </c>
      <c r="I55" t="s">
        <v>1027</v>
      </c>
      <c r="J55" s="1">
        <v>46174</v>
      </c>
      <c r="K55" t="s">
        <v>1028</v>
      </c>
    </row>
    <row r="56" spans="1:11" x14ac:dyDescent="0.45">
      <c r="A56" t="s">
        <v>66</v>
      </c>
      <c r="B56" t="s">
        <v>1030</v>
      </c>
      <c r="C56">
        <v>35</v>
      </c>
      <c r="D56">
        <v>1</v>
      </c>
      <c r="E56" t="s">
        <v>1025</v>
      </c>
      <c r="F56" t="s">
        <v>1033</v>
      </c>
      <c r="G56" t="s">
        <v>1</v>
      </c>
      <c r="H56" t="s">
        <v>2</v>
      </c>
      <c r="I56" t="s">
        <v>1027</v>
      </c>
      <c r="J56" s="1">
        <v>46174</v>
      </c>
      <c r="K56" t="s">
        <v>1028</v>
      </c>
    </row>
    <row r="57" spans="1:11" x14ac:dyDescent="0.45">
      <c r="A57" t="s">
        <v>67</v>
      </c>
      <c r="B57" t="s">
        <v>1024</v>
      </c>
      <c r="C57">
        <v>11</v>
      </c>
      <c r="D57">
        <v>21</v>
      </c>
      <c r="E57" t="s">
        <v>1034</v>
      </c>
      <c r="F57" t="s">
        <v>1032</v>
      </c>
      <c r="G57" t="s">
        <v>1035</v>
      </c>
      <c r="H57" t="s">
        <v>3</v>
      </c>
      <c r="I57" t="s">
        <v>1027</v>
      </c>
      <c r="J57" s="1">
        <v>46174</v>
      </c>
      <c r="K57" t="s">
        <v>1028</v>
      </c>
    </row>
    <row r="58" spans="1:11" x14ac:dyDescent="0.45">
      <c r="A58" t="s">
        <v>68</v>
      </c>
      <c r="B58" t="s">
        <v>1029</v>
      </c>
      <c r="C58">
        <v>61</v>
      </c>
      <c r="D58">
        <v>2</v>
      </c>
      <c r="E58" t="s">
        <v>1025</v>
      </c>
      <c r="F58" t="s">
        <v>1031</v>
      </c>
      <c r="G58" t="s">
        <v>1</v>
      </c>
      <c r="H58" t="s">
        <v>2</v>
      </c>
      <c r="I58" t="s">
        <v>1027</v>
      </c>
      <c r="J58" s="1">
        <v>46174</v>
      </c>
      <c r="K58" t="s">
        <v>1028</v>
      </c>
    </row>
    <row r="59" spans="1:11" x14ac:dyDescent="0.45">
      <c r="A59" t="s">
        <v>69</v>
      </c>
      <c r="B59" t="s">
        <v>1030</v>
      </c>
      <c r="C59">
        <v>43</v>
      </c>
      <c r="D59">
        <v>1</v>
      </c>
      <c r="E59" t="s">
        <v>1025</v>
      </c>
      <c r="F59" t="s">
        <v>1031</v>
      </c>
      <c r="G59" t="s">
        <v>1</v>
      </c>
      <c r="H59" t="s">
        <v>2</v>
      </c>
      <c r="I59" t="s">
        <v>1027</v>
      </c>
      <c r="J59" s="1">
        <v>46174</v>
      </c>
      <c r="K59" t="s">
        <v>1028</v>
      </c>
    </row>
    <row r="60" spans="1:11" x14ac:dyDescent="0.45">
      <c r="A60" t="s">
        <v>70</v>
      </c>
      <c r="B60" t="s">
        <v>1029</v>
      </c>
      <c r="C60">
        <v>52</v>
      </c>
      <c r="D60">
        <v>0</v>
      </c>
      <c r="E60" t="s">
        <v>1025</v>
      </c>
      <c r="F60" t="s">
        <v>1033</v>
      </c>
      <c r="G60" t="s">
        <v>1</v>
      </c>
      <c r="H60" t="s">
        <v>2</v>
      </c>
      <c r="I60" t="s">
        <v>1027</v>
      </c>
      <c r="J60" s="1">
        <v>46174</v>
      </c>
      <c r="K60" t="s">
        <v>1028</v>
      </c>
    </row>
    <row r="61" spans="1:11" x14ac:dyDescent="0.45">
      <c r="A61" t="s">
        <v>71</v>
      </c>
      <c r="B61" t="s">
        <v>1024</v>
      </c>
      <c r="C61">
        <v>10</v>
      </c>
      <c r="D61">
        <v>0</v>
      </c>
      <c r="E61" t="s">
        <v>1025</v>
      </c>
      <c r="F61" t="s">
        <v>1026</v>
      </c>
      <c r="G61" t="s">
        <v>1</v>
      </c>
      <c r="H61" t="s">
        <v>2</v>
      </c>
      <c r="I61" t="s">
        <v>1027</v>
      </c>
      <c r="J61" s="1">
        <v>46174</v>
      </c>
      <c r="K61" t="s">
        <v>1028</v>
      </c>
    </row>
    <row r="62" spans="1:11" x14ac:dyDescent="0.45">
      <c r="A62" t="s">
        <v>72</v>
      </c>
      <c r="B62" t="s">
        <v>1024</v>
      </c>
      <c r="C62">
        <v>25</v>
      </c>
      <c r="D62">
        <v>1</v>
      </c>
      <c r="E62" t="s">
        <v>1025</v>
      </c>
      <c r="F62" t="s">
        <v>1026</v>
      </c>
      <c r="G62" t="s">
        <v>1</v>
      </c>
      <c r="H62" t="s">
        <v>2</v>
      </c>
      <c r="I62" t="s">
        <v>1027</v>
      </c>
      <c r="J62" s="1">
        <v>46174</v>
      </c>
      <c r="K62" t="s">
        <v>1028</v>
      </c>
    </row>
    <row r="63" spans="1:11" x14ac:dyDescent="0.45">
      <c r="A63" t="s">
        <v>73</v>
      </c>
      <c r="B63" t="s">
        <v>1024</v>
      </c>
      <c r="C63">
        <v>23</v>
      </c>
      <c r="D63">
        <v>0</v>
      </c>
      <c r="E63" t="s">
        <v>1025</v>
      </c>
      <c r="F63" t="s">
        <v>1026</v>
      </c>
      <c r="G63" t="s">
        <v>1</v>
      </c>
      <c r="H63" t="s">
        <v>2</v>
      </c>
      <c r="I63" t="s">
        <v>1027</v>
      </c>
      <c r="J63" s="1">
        <v>46174</v>
      </c>
      <c r="K63" t="s">
        <v>1028</v>
      </c>
    </row>
    <row r="64" spans="1:11" x14ac:dyDescent="0.45">
      <c r="A64" t="s">
        <v>74</v>
      </c>
      <c r="B64" t="s">
        <v>1029</v>
      </c>
      <c r="C64">
        <v>57</v>
      </c>
      <c r="D64">
        <v>1</v>
      </c>
      <c r="E64" t="s">
        <v>1025</v>
      </c>
      <c r="F64" t="s">
        <v>1031</v>
      </c>
      <c r="G64" t="s">
        <v>1</v>
      </c>
      <c r="H64" t="s">
        <v>2</v>
      </c>
      <c r="I64" t="s">
        <v>1027</v>
      </c>
      <c r="J64" s="1">
        <v>46174</v>
      </c>
      <c r="K64" t="s">
        <v>1028</v>
      </c>
    </row>
    <row r="65" spans="1:11" x14ac:dyDescent="0.45">
      <c r="A65" t="s">
        <v>75</v>
      </c>
      <c r="B65" t="s">
        <v>1029</v>
      </c>
      <c r="C65">
        <v>56</v>
      </c>
      <c r="D65">
        <v>2</v>
      </c>
      <c r="E65" t="s">
        <v>1025</v>
      </c>
      <c r="F65" t="s">
        <v>1032</v>
      </c>
      <c r="G65" t="s">
        <v>1</v>
      </c>
      <c r="H65" t="s">
        <v>2</v>
      </c>
      <c r="I65" t="s">
        <v>1027</v>
      </c>
      <c r="J65" s="1">
        <v>46174</v>
      </c>
      <c r="K65" t="s">
        <v>1028</v>
      </c>
    </row>
    <row r="66" spans="1:11" x14ac:dyDescent="0.45">
      <c r="A66" t="s">
        <v>76</v>
      </c>
      <c r="B66" t="s">
        <v>1024</v>
      </c>
      <c r="C66">
        <v>21</v>
      </c>
      <c r="D66">
        <v>2</v>
      </c>
      <c r="E66" t="s">
        <v>1025</v>
      </c>
      <c r="F66" t="s">
        <v>1031</v>
      </c>
      <c r="G66" t="s">
        <v>1</v>
      </c>
      <c r="H66" t="s">
        <v>2</v>
      </c>
      <c r="I66" t="s">
        <v>1027</v>
      </c>
      <c r="J66" s="1">
        <v>46174</v>
      </c>
      <c r="K66" t="s">
        <v>1028</v>
      </c>
    </row>
    <row r="67" spans="1:11" x14ac:dyDescent="0.45">
      <c r="A67" t="s">
        <v>77</v>
      </c>
      <c r="B67" t="s">
        <v>1029</v>
      </c>
      <c r="C67">
        <v>49</v>
      </c>
      <c r="D67">
        <v>26</v>
      </c>
      <c r="E67" t="s">
        <v>1034</v>
      </c>
      <c r="F67" t="s">
        <v>1026</v>
      </c>
      <c r="G67" t="s">
        <v>1035</v>
      </c>
      <c r="H67" t="s">
        <v>3</v>
      </c>
      <c r="I67" t="s">
        <v>1027</v>
      </c>
      <c r="J67" s="1">
        <v>46174</v>
      </c>
      <c r="K67" t="s">
        <v>1028</v>
      </c>
    </row>
    <row r="68" spans="1:11" x14ac:dyDescent="0.45">
      <c r="A68" t="s">
        <v>78</v>
      </c>
      <c r="B68" t="s">
        <v>1024</v>
      </c>
      <c r="C68">
        <v>11</v>
      </c>
      <c r="D68">
        <v>1</v>
      </c>
      <c r="E68" t="s">
        <v>1025</v>
      </c>
      <c r="F68" t="s">
        <v>1026</v>
      </c>
      <c r="G68" t="s">
        <v>1</v>
      </c>
      <c r="H68" t="s">
        <v>2</v>
      </c>
      <c r="I68" t="s">
        <v>1027</v>
      </c>
      <c r="J68" s="1">
        <v>46174</v>
      </c>
      <c r="K68" t="s">
        <v>1028</v>
      </c>
    </row>
    <row r="69" spans="1:11" x14ac:dyDescent="0.45">
      <c r="A69" t="s">
        <v>79</v>
      </c>
      <c r="B69" t="s">
        <v>1029</v>
      </c>
      <c r="C69">
        <v>53</v>
      </c>
      <c r="D69">
        <v>0</v>
      </c>
      <c r="E69" t="s">
        <v>1025</v>
      </c>
      <c r="F69" t="s">
        <v>1032</v>
      </c>
      <c r="G69" t="s">
        <v>1</v>
      </c>
      <c r="H69" t="s">
        <v>2</v>
      </c>
      <c r="I69" t="s">
        <v>1027</v>
      </c>
      <c r="J69" s="1">
        <v>46174</v>
      </c>
      <c r="K69" t="s">
        <v>1028</v>
      </c>
    </row>
    <row r="70" spans="1:11" x14ac:dyDescent="0.45">
      <c r="A70" t="s">
        <v>80</v>
      </c>
      <c r="B70" t="s">
        <v>1024</v>
      </c>
      <c r="C70">
        <v>17</v>
      </c>
      <c r="D70">
        <v>2</v>
      </c>
      <c r="E70" t="s">
        <v>1025</v>
      </c>
      <c r="F70" t="s">
        <v>1033</v>
      </c>
      <c r="G70" t="s">
        <v>1</v>
      </c>
      <c r="H70" t="s">
        <v>2</v>
      </c>
      <c r="I70" t="s">
        <v>1027</v>
      </c>
      <c r="J70" s="1">
        <v>46174</v>
      </c>
      <c r="K70" t="s">
        <v>1028</v>
      </c>
    </row>
    <row r="71" spans="1:11" x14ac:dyDescent="0.45">
      <c r="A71" t="s">
        <v>81</v>
      </c>
      <c r="B71" t="s">
        <v>1024</v>
      </c>
      <c r="C71">
        <v>14</v>
      </c>
      <c r="D71">
        <v>2</v>
      </c>
      <c r="E71" t="s">
        <v>1025</v>
      </c>
      <c r="F71" t="s">
        <v>1032</v>
      </c>
      <c r="G71" t="s">
        <v>1</v>
      </c>
      <c r="H71" t="s">
        <v>2</v>
      </c>
      <c r="I71" t="s">
        <v>1027</v>
      </c>
      <c r="J71" s="1">
        <v>46174</v>
      </c>
      <c r="K71" t="s">
        <v>1028</v>
      </c>
    </row>
    <row r="72" spans="1:11" x14ac:dyDescent="0.45">
      <c r="A72" t="s">
        <v>82</v>
      </c>
      <c r="B72" t="s">
        <v>1029</v>
      </c>
      <c r="C72">
        <v>58</v>
      </c>
      <c r="D72">
        <v>0</v>
      </c>
      <c r="E72" t="s">
        <v>1025</v>
      </c>
      <c r="F72" t="s">
        <v>1032</v>
      </c>
      <c r="G72" t="s">
        <v>1</v>
      </c>
      <c r="H72" t="s">
        <v>2</v>
      </c>
      <c r="I72" t="s">
        <v>1027</v>
      </c>
      <c r="J72" s="1">
        <v>46174</v>
      </c>
      <c r="K72" t="s">
        <v>1028</v>
      </c>
    </row>
    <row r="73" spans="1:11" x14ac:dyDescent="0.45">
      <c r="A73" t="s">
        <v>83</v>
      </c>
      <c r="B73" t="s">
        <v>1024</v>
      </c>
      <c r="C73">
        <v>19</v>
      </c>
      <c r="D73">
        <v>0</v>
      </c>
      <c r="E73" t="s">
        <v>1025</v>
      </c>
      <c r="F73" t="s">
        <v>1026</v>
      </c>
      <c r="G73" t="s">
        <v>1</v>
      </c>
      <c r="H73" t="s">
        <v>2</v>
      </c>
      <c r="I73" t="s">
        <v>1027</v>
      </c>
      <c r="J73" s="1">
        <v>46174</v>
      </c>
      <c r="K73" t="s">
        <v>1028</v>
      </c>
    </row>
    <row r="74" spans="1:11" x14ac:dyDescent="0.45">
      <c r="A74" t="s">
        <v>84</v>
      </c>
      <c r="B74" t="s">
        <v>1030</v>
      </c>
      <c r="C74">
        <v>48</v>
      </c>
      <c r="D74">
        <v>12</v>
      </c>
      <c r="E74" t="s">
        <v>1036</v>
      </c>
      <c r="F74" t="s">
        <v>1033</v>
      </c>
      <c r="G74" t="s">
        <v>1035</v>
      </c>
      <c r="H74" t="s">
        <v>3</v>
      </c>
      <c r="I74" t="s">
        <v>1027</v>
      </c>
      <c r="J74" s="1">
        <v>46174</v>
      </c>
      <c r="K74" t="s">
        <v>1028</v>
      </c>
    </row>
    <row r="75" spans="1:11" x14ac:dyDescent="0.45">
      <c r="A75" t="s">
        <v>85</v>
      </c>
      <c r="B75" t="s">
        <v>1029</v>
      </c>
      <c r="C75">
        <v>55</v>
      </c>
      <c r="D75">
        <v>1</v>
      </c>
      <c r="E75" t="s">
        <v>1025</v>
      </c>
      <c r="F75" t="s">
        <v>1031</v>
      </c>
      <c r="G75" t="s">
        <v>1</v>
      </c>
      <c r="H75" t="s">
        <v>2</v>
      </c>
      <c r="I75" t="s">
        <v>1027</v>
      </c>
      <c r="J75" s="1">
        <v>46174</v>
      </c>
      <c r="K75" t="s">
        <v>1028</v>
      </c>
    </row>
    <row r="76" spans="1:11" x14ac:dyDescent="0.45">
      <c r="A76" t="s">
        <v>86</v>
      </c>
      <c r="B76" t="s">
        <v>1024</v>
      </c>
      <c r="C76">
        <v>17</v>
      </c>
      <c r="D76">
        <v>2</v>
      </c>
      <c r="E76" t="s">
        <v>1025</v>
      </c>
      <c r="F76" t="s">
        <v>1032</v>
      </c>
      <c r="G76" t="s">
        <v>1</v>
      </c>
      <c r="H76" t="s">
        <v>2</v>
      </c>
      <c r="I76" t="s">
        <v>1027</v>
      </c>
      <c r="J76" s="1">
        <v>46174</v>
      </c>
      <c r="K76" t="s">
        <v>1028</v>
      </c>
    </row>
    <row r="77" spans="1:11" x14ac:dyDescent="0.45">
      <c r="A77" t="s">
        <v>87</v>
      </c>
      <c r="B77" t="s">
        <v>1029</v>
      </c>
      <c r="C77">
        <v>54</v>
      </c>
      <c r="D77">
        <v>0</v>
      </c>
      <c r="E77" t="s">
        <v>1025</v>
      </c>
      <c r="F77" t="s">
        <v>1032</v>
      </c>
      <c r="G77" t="s">
        <v>1</v>
      </c>
      <c r="H77" t="s">
        <v>2</v>
      </c>
      <c r="I77" t="s">
        <v>1027</v>
      </c>
      <c r="J77" s="1">
        <v>46174</v>
      </c>
      <c r="K77" t="s">
        <v>1028</v>
      </c>
    </row>
    <row r="78" spans="1:11" x14ac:dyDescent="0.45">
      <c r="A78" t="s">
        <v>88</v>
      </c>
      <c r="B78" t="s">
        <v>1029</v>
      </c>
      <c r="C78">
        <v>64</v>
      </c>
      <c r="D78">
        <v>1</v>
      </c>
      <c r="E78" t="s">
        <v>1025</v>
      </c>
      <c r="F78" t="s">
        <v>1033</v>
      </c>
      <c r="G78" t="s">
        <v>1</v>
      </c>
      <c r="H78" t="s">
        <v>2</v>
      </c>
      <c r="I78" t="s">
        <v>1027</v>
      </c>
      <c r="J78" s="1">
        <v>46174</v>
      </c>
      <c r="K78" t="s">
        <v>1028</v>
      </c>
    </row>
    <row r="79" spans="1:11" x14ac:dyDescent="0.45">
      <c r="A79" t="s">
        <v>89</v>
      </c>
      <c r="B79" t="s">
        <v>1029</v>
      </c>
      <c r="C79">
        <v>63</v>
      </c>
      <c r="D79">
        <v>1</v>
      </c>
      <c r="E79" t="s">
        <v>1025</v>
      </c>
      <c r="F79" t="s">
        <v>1032</v>
      </c>
      <c r="G79" t="s">
        <v>1</v>
      </c>
      <c r="H79" t="s">
        <v>2</v>
      </c>
      <c r="I79" t="s">
        <v>1027</v>
      </c>
      <c r="J79" s="1">
        <v>46174</v>
      </c>
      <c r="K79" t="s">
        <v>1028</v>
      </c>
    </row>
    <row r="80" spans="1:11" x14ac:dyDescent="0.45">
      <c r="A80" t="s">
        <v>90</v>
      </c>
      <c r="B80" t="s">
        <v>1024</v>
      </c>
      <c r="C80">
        <v>19</v>
      </c>
      <c r="D80">
        <v>0</v>
      </c>
      <c r="E80" t="s">
        <v>1025</v>
      </c>
      <c r="F80" t="s">
        <v>1031</v>
      </c>
      <c r="G80" t="s">
        <v>1</v>
      </c>
      <c r="H80" t="s">
        <v>2</v>
      </c>
      <c r="I80" t="s">
        <v>1027</v>
      </c>
      <c r="J80" s="1">
        <v>46174</v>
      </c>
      <c r="K80" t="s">
        <v>1028</v>
      </c>
    </row>
    <row r="81" spans="1:11" x14ac:dyDescent="0.45">
      <c r="A81" t="s">
        <v>91</v>
      </c>
      <c r="B81" t="s">
        <v>1024</v>
      </c>
      <c r="C81">
        <v>19</v>
      </c>
      <c r="D81">
        <v>3</v>
      </c>
      <c r="E81" t="s">
        <v>1025</v>
      </c>
      <c r="F81" t="s">
        <v>1026</v>
      </c>
      <c r="G81" t="s">
        <v>1</v>
      </c>
      <c r="H81" t="s">
        <v>2</v>
      </c>
      <c r="I81" t="s">
        <v>1027</v>
      </c>
      <c r="J81" s="1">
        <v>46174</v>
      </c>
      <c r="K81" t="s">
        <v>1028</v>
      </c>
    </row>
    <row r="82" spans="1:11" x14ac:dyDescent="0.45">
      <c r="A82" t="s">
        <v>92</v>
      </c>
      <c r="B82" t="s">
        <v>1030</v>
      </c>
      <c r="C82">
        <v>47</v>
      </c>
      <c r="D82">
        <v>2</v>
      </c>
      <c r="E82" t="s">
        <v>1025</v>
      </c>
      <c r="F82" t="s">
        <v>1026</v>
      </c>
      <c r="G82" t="s">
        <v>1</v>
      </c>
      <c r="H82" t="s">
        <v>2</v>
      </c>
      <c r="I82" t="s">
        <v>1027</v>
      </c>
      <c r="J82" s="1">
        <v>46174</v>
      </c>
      <c r="K82" t="s">
        <v>1028</v>
      </c>
    </row>
    <row r="83" spans="1:11" x14ac:dyDescent="0.45">
      <c r="A83" t="s">
        <v>93</v>
      </c>
      <c r="B83" t="s">
        <v>1030</v>
      </c>
      <c r="C83">
        <v>35</v>
      </c>
      <c r="D83">
        <v>3</v>
      </c>
      <c r="E83" t="s">
        <v>1025</v>
      </c>
      <c r="F83" t="s">
        <v>1032</v>
      </c>
      <c r="G83" t="s">
        <v>1</v>
      </c>
      <c r="H83" t="s">
        <v>2</v>
      </c>
      <c r="I83" t="s">
        <v>1027</v>
      </c>
      <c r="J83" s="1">
        <v>46174</v>
      </c>
      <c r="K83" t="s">
        <v>1028</v>
      </c>
    </row>
    <row r="84" spans="1:11" x14ac:dyDescent="0.45">
      <c r="A84" t="s">
        <v>94</v>
      </c>
      <c r="B84" t="s">
        <v>1030</v>
      </c>
      <c r="C84">
        <v>39</v>
      </c>
      <c r="D84">
        <v>0</v>
      </c>
      <c r="E84" t="s">
        <v>1025</v>
      </c>
      <c r="F84" t="s">
        <v>1031</v>
      </c>
      <c r="G84" t="s">
        <v>1</v>
      </c>
      <c r="H84" t="s">
        <v>2</v>
      </c>
      <c r="I84" t="s">
        <v>1027</v>
      </c>
      <c r="J84" s="1">
        <v>46174</v>
      </c>
      <c r="K84" t="s">
        <v>1028</v>
      </c>
    </row>
    <row r="85" spans="1:11" x14ac:dyDescent="0.45">
      <c r="A85" t="s">
        <v>95</v>
      </c>
      <c r="B85" t="s">
        <v>1024</v>
      </c>
      <c r="C85">
        <v>12</v>
      </c>
      <c r="D85">
        <v>1</v>
      </c>
      <c r="E85" t="s">
        <v>1025</v>
      </c>
      <c r="F85" t="s">
        <v>1033</v>
      </c>
      <c r="G85" t="s">
        <v>1</v>
      </c>
      <c r="H85" t="s">
        <v>2</v>
      </c>
      <c r="I85" t="s">
        <v>1027</v>
      </c>
      <c r="J85" s="1">
        <v>46174</v>
      </c>
      <c r="K85" t="s">
        <v>1028</v>
      </c>
    </row>
    <row r="86" spans="1:11" x14ac:dyDescent="0.45">
      <c r="A86" t="s">
        <v>96</v>
      </c>
      <c r="B86" t="s">
        <v>1030</v>
      </c>
      <c r="C86">
        <v>46</v>
      </c>
      <c r="D86">
        <v>1</v>
      </c>
      <c r="E86" t="s">
        <v>1025</v>
      </c>
      <c r="F86" t="s">
        <v>1032</v>
      </c>
      <c r="G86" t="s">
        <v>1</v>
      </c>
      <c r="H86" t="s">
        <v>2</v>
      </c>
      <c r="I86" t="s">
        <v>1027</v>
      </c>
      <c r="J86" s="1">
        <v>46174</v>
      </c>
      <c r="K86" t="s">
        <v>1028</v>
      </c>
    </row>
    <row r="87" spans="1:11" x14ac:dyDescent="0.45">
      <c r="A87" t="s">
        <v>97</v>
      </c>
      <c r="B87" t="s">
        <v>1029</v>
      </c>
      <c r="C87">
        <v>57</v>
      </c>
      <c r="D87">
        <v>4</v>
      </c>
      <c r="E87" t="s">
        <v>1025</v>
      </c>
      <c r="F87" t="s">
        <v>1031</v>
      </c>
      <c r="G87" t="s">
        <v>1</v>
      </c>
      <c r="H87" t="s">
        <v>2</v>
      </c>
      <c r="I87" t="s">
        <v>1027</v>
      </c>
      <c r="J87" s="1">
        <v>46174</v>
      </c>
      <c r="K87" t="s">
        <v>1028</v>
      </c>
    </row>
    <row r="88" spans="1:11" x14ac:dyDescent="0.45">
      <c r="A88" t="s">
        <v>98</v>
      </c>
      <c r="B88" t="s">
        <v>1024</v>
      </c>
      <c r="C88">
        <v>11</v>
      </c>
      <c r="D88">
        <v>1</v>
      </c>
      <c r="E88" t="s">
        <v>1025</v>
      </c>
      <c r="F88" t="s">
        <v>1031</v>
      </c>
      <c r="G88" t="s">
        <v>1</v>
      </c>
      <c r="H88" t="s">
        <v>2</v>
      </c>
      <c r="I88" t="s">
        <v>1027</v>
      </c>
      <c r="J88" s="1">
        <v>46174</v>
      </c>
      <c r="K88" t="s">
        <v>1028</v>
      </c>
    </row>
    <row r="89" spans="1:11" x14ac:dyDescent="0.45">
      <c r="A89" t="s">
        <v>99</v>
      </c>
      <c r="B89" t="s">
        <v>1024</v>
      </c>
      <c r="C89">
        <v>17</v>
      </c>
      <c r="D89">
        <v>1</v>
      </c>
      <c r="E89" t="s">
        <v>1025</v>
      </c>
      <c r="F89" t="s">
        <v>1026</v>
      </c>
      <c r="G89" t="s">
        <v>1</v>
      </c>
      <c r="H89" t="s">
        <v>2</v>
      </c>
      <c r="I89" t="s">
        <v>1027</v>
      </c>
      <c r="J89" s="1">
        <v>46174</v>
      </c>
      <c r="K89" t="s">
        <v>1028</v>
      </c>
    </row>
    <row r="90" spans="1:11" x14ac:dyDescent="0.45">
      <c r="A90" t="s">
        <v>100</v>
      </c>
      <c r="B90" t="s">
        <v>1029</v>
      </c>
      <c r="C90">
        <v>52</v>
      </c>
      <c r="D90">
        <v>2</v>
      </c>
      <c r="E90" t="s">
        <v>1025</v>
      </c>
      <c r="F90" t="s">
        <v>1031</v>
      </c>
      <c r="G90" t="s">
        <v>1</v>
      </c>
      <c r="H90" t="s">
        <v>2</v>
      </c>
      <c r="I90" t="s">
        <v>1027</v>
      </c>
      <c r="J90" s="1">
        <v>46174</v>
      </c>
      <c r="K90" t="s">
        <v>1028</v>
      </c>
    </row>
    <row r="91" spans="1:11" x14ac:dyDescent="0.45">
      <c r="A91" t="s">
        <v>101</v>
      </c>
      <c r="B91" t="s">
        <v>1029</v>
      </c>
      <c r="C91">
        <v>59</v>
      </c>
      <c r="D91">
        <v>2</v>
      </c>
      <c r="E91" t="s">
        <v>1025</v>
      </c>
      <c r="F91" t="s">
        <v>1031</v>
      </c>
      <c r="G91" t="s">
        <v>1</v>
      </c>
      <c r="H91" t="s">
        <v>2</v>
      </c>
      <c r="I91" t="s">
        <v>1027</v>
      </c>
      <c r="J91" s="1">
        <v>46174</v>
      </c>
      <c r="K91" t="s">
        <v>1028</v>
      </c>
    </row>
    <row r="92" spans="1:11" x14ac:dyDescent="0.45">
      <c r="A92" t="s">
        <v>102</v>
      </c>
      <c r="B92" t="s">
        <v>1024</v>
      </c>
      <c r="C92">
        <v>16</v>
      </c>
      <c r="D92">
        <v>0</v>
      </c>
      <c r="E92" t="s">
        <v>1025</v>
      </c>
      <c r="F92" t="s">
        <v>1031</v>
      </c>
      <c r="G92" t="s">
        <v>1</v>
      </c>
      <c r="H92" t="s">
        <v>2</v>
      </c>
      <c r="I92" t="s">
        <v>1027</v>
      </c>
      <c r="J92" s="1">
        <v>46174</v>
      </c>
      <c r="K92" t="s">
        <v>1028</v>
      </c>
    </row>
    <row r="93" spans="1:11" x14ac:dyDescent="0.45">
      <c r="A93" t="s">
        <v>103</v>
      </c>
      <c r="B93" t="s">
        <v>1024</v>
      </c>
      <c r="C93">
        <v>21</v>
      </c>
      <c r="D93">
        <v>5</v>
      </c>
      <c r="E93" t="s">
        <v>1025</v>
      </c>
      <c r="F93" t="s">
        <v>1026</v>
      </c>
      <c r="G93" t="s">
        <v>1</v>
      </c>
      <c r="H93" t="s">
        <v>2</v>
      </c>
      <c r="I93" t="s">
        <v>1027</v>
      </c>
      <c r="J93" s="1">
        <v>46174</v>
      </c>
      <c r="K93" t="s">
        <v>1028</v>
      </c>
    </row>
    <row r="94" spans="1:11" x14ac:dyDescent="0.45">
      <c r="A94" t="s">
        <v>104</v>
      </c>
      <c r="B94" t="s">
        <v>1029</v>
      </c>
      <c r="C94">
        <v>61</v>
      </c>
      <c r="D94">
        <v>14</v>
      </c>
      <c r="E94" t="s">
        <v>1036</v>
      </c>
      <c r="F94" t="s">
        <v>1031</v>
      </c>
      <c r="G94" t="s">
        <v>1035</v>
      </c>
      <c r="H94" t="s">
        <v>3</v>
      </c>
      <c r="I94" t="s">
        <v>1027</v>
      </c>
      <c r="J94" s="1">
        <v>46174</v>
      </c>
      <c r="K94" t="s">
        <v>1028</v>
      </c>
    </row>
    <row r="95" spans="1:11" x14ac:dyDescent="0.45">
      <c r="A95" t="s">
        <v>105</v>
      </c>
      <c r="B95" t="s">
        <v>1024</v>
      </c>
      <c r="C95">
        <v>25</v>
      </c>
      <c r="D95">
        <v>0</v>
      </c>
      <c r="E95" t="s">
        <v>1025</v>
      </c>
      <c r="F95" t="s">
        <v>1031</v>
      </c>
      <c r="G95" t="s">
        <v>1</v>
      </c>
      <c r="H95" t="s">
        <v>2</v>
      </c>
      <c r="I95" t="s">
        <v>1027</v>
      </c>
      <c r="J95" s="1">
        <v>46174</v>
      </c>
      <c r="K95" t="s">
        <v>1028</v>
      </c>
    </row>
    <row r="96" spans="1:11" x14ac:dyDescent="0.45">
      <c r="A96" t="s">
        <v>106</v>
      </c>
      <c r="B96" t="s">
        <v>1029</v>
      </c>
      <c r="C96">
        <v>54</v>
      </c>
      <c r="D96">
        <v>0</v>
      </c>
      <c r="E96" t="s">
        <v>1025</v>
      </c>
      <c r="F96" t="s">
        <v>1026</v>
      </c>
      <c r="G96" t="s">
        <v>1</v>
      </c>
      <c r="H96" t="s">
        <v>2</v>
      </c>
      <c r="I96" t="s">
        <v>1027</v>
      </c>
      <c r="J96" s="1">
        <v>46174</v>
      </c>
      <c r="K96" t="s">
        <v>1028</v>
      </c>
    </row>
    <row r="97" spans="1:11" x14ac:dyDescent="0.45">
      <c r="A97" t="s">
        <v>107</v>
      </c>
      <c r="B97" t="s">
        <v>1030</v>
      </c>
      <c r="C97">
        <v>43</v>
      </c>
      <c r="D97">
        <v>5</v>
      </c>
      <c r="E97" t="s">
        <v>1025</v>
      </c>
      <c r="F97" t="s">
        <v>1031</v>
      </c>
      <c r="G97" t="s">
        <v>1</v>
      </c>
      <c r="H97" t="s">
        <v>2</v>
      </c>
      <c r="I97" t="s">
        <v>1027</v>
      </c>
      <c r="J97" s="1">
        <v>46174</v>
      </c>
      <c r="K97" t="s">
        <v>1028</v>
      </c>
    </row>
    <row r="98" spans="1:11" x14ac:dyDescent="0.45">
      <c r="A98" t="s">
        <v>108</v>
      </c>
      <c r="B98" t="s">
        <v>1024</v>
      </c>
      <c r="C98">
        <v>22</v>
      </c>
      <c r="D98">
        <v>0</v>
      </c>
      <c r="E98" t="s">
        <v>1025</v>
      </c>
      <c r="F98" t="s">
        <v>1026</v>
      </c>
      <c r="G98" t="s">
        <v>1</v>
      </c>
      <c r="H98" t="s">
        <v>2</v>
      </c>
      <c r="I98" t="s">
        <v>1027</v>
      </c>
      <c r="J98" s="1">
        <v>46174</v>
      </c>
      <c r="K98" t="s">
        <v>1028</v>
      </c>
    </row>
    <row r="99" spans="1:11" x14ac:dyDescent="0.45">
      <c r="A99" t="s">
        <v>109</v>
      </c>
      <c r="B99" t="s">
        <v>1029</v>
      </c>
      <c r="C99">
        <v>59</v>
      </c>
      <c r="D99">
        <v>2</v>
      </c>
      <c r="E99" t="s">
        <v>1025</v>
      </c>
      <c r="F99" t="s">
        <v>1026</v>
      </c>
      <c r="G99" t="s">
        <v>1</v>
      </c>
      <c r="H99" t="s">
        <v>2</v>
      </c>
      <c r="I99" t="s">
        <v>1027</v>
      </c>
      <c r="J99" s="1">
        <v>46174</v>
      </c>
      <c r="K99" t="s">
        <v>1028</v>
      </c>
    </row>
    <row r="100" spans="1:11" x14ac:dyDescent="0.45">
      <c r="A100" t="s">
        <v>110</v>
      </c>
      <c r="B100" t="s">
        <v>1024</v>
      </c>
      <c r="C100">
        <v>23</v>
      </c>
      <c r="D100">
        <v>2</v>
      </c>
      <c r="E100" t="s">
        <v>1025</v>
      </c>
      <c r="F100" t="s">
        <v>1026</v>
      </c>
      <c r="G100" t="s">
        <v>1</v>
      </c>
      <c r="H100" t="s">
        <v>2</v>
      </c>
      <c r="I100" t="s">
        <v>1027</v>
      </c>
      <c r="J100" s="1">
        <v>46174</v>
      </c>
      <c r="K100" t="s">
        <v>1028</v>
      </c>
    </row>
    <row r="101" spans="1:11" x14ac:dyDescent="0.45">
      <c r="A101" t="s">
        <v>111</v>
      </c>
      <c r="B101" t="s">
        <v>1030</v>
      </c>
      <c r="C101">
        <v>43</v>
      </c>
      <c r="D101">
        <v>1</v>
      </c>
      <c r="E101" t="s">
        <v>1025</v>
      </c>
      <c r="F101" t="s">
        <v>1033</v>
      </c>
      <c r="G101" t="s">
        <v>1</v>
      </c>
      <c r="H101" t="s">
        <v>2</v>
      </c>
      <c r="I101" t="s">
        <v>1027</v>
      </c>
      <c r="J101" s="1">
        <v>46174</v>
      </c>
      <c r="K101" t="s">
        <v>1028</v>
      </c>
    </row>
    <row r="102" spans="1:11" x14ac:dyDescent="0.45">
      <c r="A102" t="s">
        <v>112</v>
      </c>
      <c r="B102" t="s">
        <v>1029</v>
      </c>
      <c r="C102">
        <v>55</v>
      </c>
      <c r="D102">
        <v>13</v>
      </c>
      <c r="E102" t="s">
        <v>1036</v>
      </c>
      <c r="F102" t="s">
        <v>1032</v>
      </c>
      <c r="G102" t="s">
        <v>1035</v>
      </c>
      <c r="H102" t="s">
        <v>3</v>
      </c>
      <c r="I102" t="s">
        <v>1027</v>
      </c>
      <c r="J102" s="1">
        <v>46174</v>
      </c>
      <c r="K102" t="s">
        <v>1028</v>
      </c>
    </row>
    <row r="103" spans="1:11" x14ac:dyDescent="0.45">
      <c r="A103" t="s">
        <v>113</v>
      </c>
      <c r="B103" t="s">
        <v>1024</v>
      </c>
      <c r="C103">
        <v>16</v>
      </c>
      <c r="D103">
        <v>5</v>
      </c>
      <c r="E103" t="s">
        <v>1025</v>
      </c>
      <c r="F103" t="s">
        <v>1031</v>
      </c>
      <c r="G103" t="s">
        <v>1</v>
      </c>
      <c r="H103" t="s">
        <v>2</v>
      </c>
      <c r="I103" t="s">
        <v>1027</v>
      </c>
      <c r="J103" s="1">
        <v>46174</v>
      </c>
      <c r="K103" t="s">
        <v>1028</v>
      </c>
    </row>
    <row r="104" spans="1:11" x14ac:dyDescent="0.45">
      <c r="A104" t="s">
        <v>114</v>
      </c>
      <c r="B104" t="s">
        <v>1024</v>
      </c>
      <c r="C104">
        <v>11</v>
      </c>
      <c r="D104">
        <v>2</v>
      </c>
      <c r="E104" t="s">
        <v>1025</v>
      </c>
      <c r="F104" t="s">
        <v>1032</v>
      </c>
      <c r="G104" t="s">
        <v>1</v>
      </c>
      <c r="H104" t="s">
        <v>2</v>
      </c>
      <c r="I104" t="s">
        <v>1027</v>
      </c>
      <c r="J104" s="1">
        <v>46174</v>
      </c>
      <c r="K104" t="s">
        <v>1028</v>
      </c>
    </row>
    <row r="105" spans="1:11" x14ac:dyDescent="0.45">
      <c r="A105" t="s">
        <v>115</v>
      </c>
      <c r="B105" t="s">
        <v>1030</v>
      </c>
      <c r="C105">
        <v>39</v>
      </c>
      <c r="D105">
        <v>1</v>
      </c>
      <c r="E105" t="s">
        <v>1025</v>
      </c>
      <c r="F105" t="s">
        <v>1026</v>
      </c>
      <c r="G105" t="s">
        <v>1</v>
      </c>
      <c r="H105" t="s">
        <v>2</v>
      </c>
      <c r="I105" t="s">
        <v>1027</v>
      </c>
      <c r="J105" s="1">
        <v>46174</v>
      </c>
      <c r="K105" t="s">
        <v>1028</v>
      </c>
    </row>
    <row r="106" spans="1:11" x14ac:dyDescent="0.45">
      <c r="A106" t="s">
        <v>116</v>
      </c>
      <c r="B106" t="s">
        <v>1024</v>
      </c>
      <c r="C106">
        <v>21</v>
      </c>
      <c r="D106">
        <v>3</v>
      </c>
      <c r="E106" t="s">
        <v>1025</v>
      </c>
      <c r="F106" t="s">
        <v>1033</v>
      </c>
      <c r="G106" t="s">
        <v>1</v>
      </c>
      <c r="H106" t="s">
        <v>2</v>
      </c>
      <c r="I106" t="s">
        <v>1027</v>
      </c>
      <c r="J106" s="1">
        <v>46174</v>
      </c>
      <c r="K106" t="s">
        <v>1028</v>
      </c>
    </row>
    <row r="107" spans="1:11" x14ac:dyDescent="0.45">
      <c r="A107" t="s">
        <v>117</v>
      </c>
      <c r="B107" t="s">
        <v>1029</v>
      </c>
      <c r="C107">
        <v>51</v>
      </c>
      <c r="D107">
        <v>1</v>
      </c>
      <c r="E107" t="s">
        <v>1025</v>
      </c>
      <c r="F107" t="s">
        <v>1026</v>
      </c>
      <c r="G107" t="s">
        <v>1</v>
      </c>
      <c r="H107" t="s">
        <v>2</v>
      </c>
      <c r="I107" t="s">
        <v>1027</v>
      </c>
      <c r="J107" s="1">
        <v>46174</v>
      </c>
      <c r="K107" t="s">
        <v>1028</v>
      </c>
    </row>
    <row r="108" spans="1:11" x14ac:dyDescent="0.45">
      <c r="A108" t="s">
        <v>118</v>
      </c>
      <c r="B108" t="s">
        <v>1030</v>
      </c>
      <c r="C108">
        <v>35</v>
      </c>
      <c r="D108">
        <v>2</v>
      </c>
      <c r="E108" t="s">
        <v>1025</v>
      </c>
      <c r="F108" t="s">
        <v>1031</v>
      </c>
      <c r="G108" t="s">
        <v>1</v>
      </c>
      <c r="H108" t="s">
        <v>2</v>
      </c>
      <c r="I108" t="s">
        <v>1027</v>
      </c>
      <c r="J108" s="1">
        <v>46174</v>
      </c>
      <c r="K108" t="s">
        <v>1028</v>
      </c>
    </row>
    <row r="109" spans="1:11" x14ac:dyDescent="0.45">
      <c r="A109" t="s">
        <v>119</v>
      </c>
      <c r="B109" t="s">
        <v>1029</v>
      </c>
      <c r="C109">
        <v>58</v>
      </c>
      <c r="D109">
        <v>0</v>
      </c>
      <c r="E109" t="s">
        <v>1025</v>
      </c>
      <c r="F109" t="s">
        <v>1026</v>
      </c>
      <c r="G109" t="s">
        <v>1</v>
      </c>
      <c r="H109" t="s">
        <v>2</v>
      </c>
      <c r="I109" t="s">
        <v>1027</v>
      </c>
      <c r="J109" s="1">
        <v>46174</v>
      </c>
      <c r="K109" t="s">
        <v>1028</v>
      </c>
    </row>
    <row r="110" spans="1:11" x14ac:dyDescent="0.45">
      <c r="A110" t="s">
        <v>120</v>
      </c>
      <c r="B110" t="s">
        <v>1030</v>
      </c>
      <c r="C110">
        <v>30</v>
      </c>
      <c r="D110">
        <v>22</v>
      </c>
      <c r="E110" t="s">
        <v>1034</v>
      </c>
      <c r="F110" t="s">
        <v>1032</v>
      </c>
      <c r="G110" t="s">
        <v>1035</v>
      </c>
      <c r="H110" t="s">
        <v>3</v>
      </c>
      <c r="I110" t="s">
        <v>1027</v>
      </c>
      <c r="J110" s="1">
        <v>46174</v>
      </c>
      <c r="K110" t="s">
        <v>1028</v>
      </c>
    </row>
    <row r="111" spans="1:11" x14ac:dyDescent="0.45">
      <c r="A111" t="s">
        <v>121</v>
      </c>
      <c r="B111" t="s">
        <v>1030</v>
      </c>
      <c r="C111">
        <v>33</v>
      </c>
      <c r="D111">
        <v>2</v>
      </c>
      <c r="E111" t="s">
        <v>1025</v>
      </c>
      <c r="F111" t="s">
        <v>1031</v>
      </c>
      <c r="G111" t="s">
        <v>1</v>
      </c>
      <c r="H111" t="s">
        <v>2</v>
      </c>
      <c r="I111" t="s">
        <v>1027</v>
      </c>
      <c r="J111" s="1">
        <v>46174</v>
      </c>
      <c r="K111" t="s">
        <v>1028</v>
      </c>
    </row>
    <row r="112" spans="1:11" x14ac:dyDescent="0.45">
      <c r="A112" t="s">
        <v>122</v>
      </c>
      <c r="B112" t="s">
        <v>1030</v>
      </c>
      <c r="C112">
        <v>42</v>
      </c>
      <c r="D112">
        <v>1</v>
      </c>
      <c r="E112" t="s">
        <v>1025</v>
      </c>
      <c r="F112" t="s">
        <v>1026</v>
      </c>
      <c r="G112" t="s">
        <v>1</v>
      </c>
      <c r="H112" t="s">
        <v>2</v>
      </c>
      <c r="I112" t="s">
        <v>1027</v>
      </c>
      <c r="J112" s="1">
        <v>46174</v>
      </c>
      <c r="K112" t="s">
        <v>1028</v>
      </c>
    </row>
    <row r="113" spans="1:11" x14ac:dyDescent="0.45">
      <c r="A113" t="s">
        <v>123</v>
      </c>
      <c r="B113" t="s">
        <v>1029</v>
      </c>
      <c r="C113">
        <v>61</v>
      </c>
      <c r="D113">
        <v>1</v>
      </c>
      <c r="E113" t="s">
        <v>1025</v>
      </c>
      <c r="F113" t="s">
        <v>1031</v>
      </c>
      <c r="G113" t="s">
        <v>1</v>
      </c>
      <c r="H113" t="s">
        <v>2</v>
      </c>
      <c r="I113" t="s">
        <v>1027</v>
      </c>
      <c r="J113" s="1">
        <v>46174</v>
      </c>
      <c r="K113" t="s">
        <v>1028</v>
      </c>
    </row>
    <row r="114" spans="1:11" x14ac:dyDescent="0.45">
      <c r="A114" t="s">
        <v>124</v>
      </c>
      <c r="B114" t="s">
        <v>1024</v>
      </c>
      <c r="C114">
        <v>15</v>
      </c>
      <c r="D114">
        <v>1</v>
      </c>
      <c r="E114" t="s">
        <v>1025</v>
      </c>
      <c r="F114" t="s">
        <v>1033</v>
      </c>
      <c r="G114" t="s">
        <v>1</v>
      </c>
      <c r="H114" t="s">
        <v>2</v>
      </c>
      <c r="I114" t="s">
        <v>1027</v>
      </c>
      <c r="J114" s="1">
        <v>46174</v>
      </c>
      <c r="K114" t="s">
        <v>1028</v>
      </c>
    </row>
    <row r="115" spans="1:11" x14ac:dyDescent="0.45">
      <c r="A115" t="s">
        <v>125</v>
      </c>
      <c r="B115" t="s">
        <v>1030</v>
      </c>
      <c r="C115">
        <v>30</v>
      </c>
      <c r="D115">
        <v>1</v>
      </c>
      <c r="E115" t="s">
        <v>1025</v>
      </c>
      <c r="F115" t="s">
        <v>1031</v>
      </c>
      <c r="G115" t="s">
        <v>1</v>
      </c>
      <c r="H115" t="s">
        <v>2</v>
      </c>
      <c r="I115" t="s">
        <v>1027</v>
      </c>
      <c r="J115" s="1">
        <v>46174</v>
      </c>
      <c r="K115" t="s">
        <v>1028</v>
      </c>
    </row>
    <row r="116" spans="1:11" x14ac:dyDescent="0.45">
      <c r="A116" t="s">
        <v>126</v>
      </c>
      <c r="B116" t="s">
        <v>1029</v>
      </c>
      <c r="C116">
        <v>53</v>
      </c>
      <c r="D116">
        <v>0</v>
      </c>
      <c r="E116" t="s">
        <v>1025</v>
      </c>
      <c r="F116" t="s">
        <v>1026</v>
      </c>
      <c r="G116" t="s">
        <v>1</v>
      </c>
      <c r="H116" t="s">
        <v>2</v>
      </c>
      <c r="I116" t="s">
        <v>1027</v>
      </c>
      <c r="J116" s="1">
        <v>46174</v>
      </c>
      <c r="K116" t="s">
        <v>1028</v>
      </c>
    </row>
    <row r="117" spans="1:11" x14ac:dyDescent="0.45">
      <c r="A117" t="s">
        <v>127</v>
      </c>
      <c r="B117" t="s">
        <v>1030</v>
      </c>
      <c r="C117">
        <v>32</v>
      </c>
      <c r="D117">
        <v>2</v>
      </c>
      <c r="E117" t="s">
        <v>1025</v>
      </c>
      <c r="F117" t="s">
        <v>1026</v>
      </c>
      <c r="G117" t="s">
        <v>1</v>
      </c>
      <c r="H117" t="s">
        <v>2</v>
      </c>
      <c r="I117" t="s">
        <v>1027</v>
      </c>
      <c r="J117" s="1">
        <v>46174</v>
      </c>
      <c r="K117" t="s">
        <v>1028</v>
      </c>
    </row>
    <row r="118" spans="1:11" x14ac:dyDescent="0.45">
      <c r="A118" t="s">
        <v>128</v>
      </c>
      <c r="B118" t="s">
        <v>1029</v>
      </c>
      <c r="C118">
        <v>48</v>
      </c>
      <c r="D118">
        <v>0</v>
      </c>
      <c r="E118" t="s">
        <v>1025</v>
      </c>
      <c r="F118" t="s">
        <v>1033</v>
      </c>
      <c r="G118" t="s">
        <v>1</v>
      </c>
      <c r="H118" t="s">
        <v>2</v>
      </c>
      <c r="I118" t="s">
        <v>1027</v>
      </c>
      <c r="J118" s="1">
        <v>46174</v>
      </c>
      <c r="K118" t="s">
        <v>1028</v>
      </c>
    </row>
    <row r="119" spans="1:11" x14ac:dyDescent="0.45">
      <c r="A119" t="s">
        <v>129</v>
      </c>
      <c r="B119" t="s">
        <v>1024</v>
      </c>
      <c r="C119">
        <v>14</v>
      </c>
      <c r="D119">
        <v>1</v>
      </c>
      <c r="E119" t="s">
        <v>1025</v>
      </c>
      <c r="F119" t="s">
        <v>1032</v>
      </c>
      <c r="G119" t="s">
        <v>1</v>
      </c>
      <c r="H119" t="s">
        <v>2</v>
      </c>
      <c r="I119" t="s">
        <v>1027</v>
      </c>
      <c r="J119" s="1">
        <v>46174</v>
      </c>
      <c r="K119" t="s">
        <v>1028</v>
      </c>
    </row>
    <row r="120" spans="1:11" x14ac:dyDescent="0.45">
      <c r="A120" t="s">
        <v>130</v>
      </c>
      <c r="B120" t="s">
        <v>1024</v>
      </c>
      <c r="C120">
        <v>12</v>
      </c>
      <c r="D120">
        <v>3</v>
      </c>
      <c r="E120" t="s">
        <v>1025</v>
      </c>
      <c r="F120" t="s">
        <v>1033</v>
      </c>
      <c r="G120" t="s">
        <v>1</v>
      </c>
      <c r="H120" t="s">
        <v>2</v>
      </c>
      <c r="I120" t="s">
        <v>1027</v>
      </c>
      <c r="J120" s="1">
        <v>46174</v>
      </c>
      <c r="K120" t="s">
        <v>1028</v>
      </c>
    </row>
    <row r="121" spans="1:11" x14ac:dyDescent="0.45">
      <c r="A121" t="s">
        <v>131</v>
      </c>
      <c r="B121" t="s">
        <v>1030</v>
      </c>
      <c r="C121">
        <v>34</v>
      </c>
      <c r="D121">
        <v>25</v>
      </c>
      <c r="E121" t="s">
        <v>1034</v>
      </c>
      <c r="F121" t="s">
        <v>1026</v>
      </c>
      <c r="G121" t="s">
        <v>1035</v>
      </c>
      <c r="H121" t="s">
        <v>3</v>
      </c>
      <c r="I121" t="s">
        <v>1027</v>
      </c>
      <c r="J121" s="1">
        <v>46174</v>
      </c>
      <c r="K121" t="s">
        <v>1028</v>
      </c>
    </row>
    <row r="122" spans="1:11" x14ac:dyDescent="0.45">
      <c r="A122" t="s">
        <v>132</v>
      </c>
      <c r="B122" t="s">
        <v>1030</v>
      </c>
      <c r="C122">
        <v>30</v>
      </c>
      <c r="D122">
        <v>4</v>
      </c>
      <c r="E122" t="s">
        <v>1025</v>
      </c>
      <c r="F122" t="s">
        <v>1033</v>
      </c>
      <c r="G122" t="s">
        <v>1</v>
      </c>
      <c r="H122" t="s">
        <v>2</v>
      </c>
      <c r="I122" t="s">
        <v>1027</v>
      </c>
      <c r="J122" s="1">
        <v>46174</v>
      </c>
      <c r="K122" t="s">
        <v>1028</v>
      </c>
    </row>
    <row r="123" spans="1:11" x14ac:dyDescent="0.45">
      <c r="A123" t="s">
        <v>133</v>
      </c>
      <c r="B123" t="s">
        <v>1024</v>
      </c>
      <c r="C123">
        <v>24</v>
      </c>
      <c r="D123">
        <v>1</v>
      </c>
      <c r="E123" t="s">
        <v>1025</v>
      </c>
      <c r="F123" t="s">
        <v>1033</v>
      </c>
      <c r="G123" t="s">
        <v>1</v>
      </c>
      <c r="H123" t="s">
        <v>2</v>
      </c>
      <c r="I123" t="s">
        <v>1027</v>
      </c>
      <c r="J123" s="1">
        <v>46174</v>
      </c>
      <c r="K123" t="s">
        <v>1028</v>
      </c>
    </row>
    <row r="124" spans="1:11" x14ac:dyDescent="0.45">
      <c r="A124" t="s">
        <v>134</v>
      </c>
      <c r="B124" t="s">
        <v>1024</v>
      </c>
      <c r="C124">
        <v>24</v>
      </c>
      <c r="D124">
        <v>0</v>
      </c>
      <c r="E124" t="s">
        <v>1025</v>
      </c>
      <c r="F124" t="s">
        <v>1033</v>
      </c>
      <c r="G124" t="s">
        <v>1</v>
      </c>
      <c r="H124" t="s">
        <v>2</v>
      </c>
      <c r="I124" t="s">
        <v>1027</v>
      </c>
      <c r="J124" s="1">
        <v>46174</v>
      </c>
      <c r="K124" t="s">
        <v>1028</v>
      </c>
    </row>
    <row r="125" spans="1:11" x14ac:dyDescent="0.45">
      <c r="A125" t="s">
        <v>135</v>
      </c>
      <c r="B125" t="s">
        <v>1030</v>
      </c>
      <c r="C125">
        <v>42</v>
      </c>
      <c r="D125">
        <v>1</v>
      </c>
      <c r="E125" t="s">
        <v>1025</v>
      </c>
      <c r="F125" t="s">
        <v>1026</v>
      </c>
      <c r="G125" t="s">
        <v>1</v>
      </c>
      <c r="H125" t="s">
        <v>2</v>
      </c>
      <c r="I125" t="s">
        <v>1027</v>
      </c>
      <c r="J125" s="1">
        <v>46174</v>
      </c>
      <c r="K125" t="s">
        <v>1028</v>
      </c>
    </row>
    <row r="126" spans="1:11" x14ac:dyDescent="0.45">
      <c r="A126" t="s">
        <v>136</v>
      </c>
      <c r="B126" t="s">
        <v>1024</v>
      </c>
      <c r="C126">
        <v>22</v>
      </c>
      <c r="D126">
        <v>0</v>
      </c>
      <c r="E126" t="s">
        <v>1025</v>
      </c>
      <c r="F126" t="s">
        <v>1033</v>
      </c>
      <c r="G126" t="s">
        <v>1</v>
      </c>
      <c r="H126" t="s">
        <v>2</v>
      </c>
      <c r="I126" t="s">
        <v>1027</v>
      </c>
      <c r="J126" s="1">
        <v>46174</v>
      </c>
      <c r="K126" t="s">
        <v>1028</v>
      </c>
    </row>
    <row r="127" spans="1:11" x14ac:dyDescent="0.45">
      <c r="A127" t="s">
        <v>137</v>
      </c>
      <c r="B127" t="s">
        <v>1029</v>
      </c>
      <c r="C127">
        <v>50</v>
      </c>
      <c r="D127">
        <v>2</v>
      </c>
      <c r="E127" t="s">
        <v>1025</v>
      </c>
      <c r="F127" t="s">
        <v>1033</v>
      </c>
      <c r="G127" t="s">
        <v>1</v>
      </c>
      <c r="H127" t="s">
        <v>2</v>
      </c>
      <c r="I127" t="s">
        <v>1027</v>
      </c>
      <c r="J127" s="1">
        <v>46174</v>
      </c>
      <c r="K127" t="s">
        <v>1028</v>
      </c>
    </row>
    <row r="128" spans="1:11" x14ac:dyDescent="0.45">
      <c r="A128" t="s">
        <v>138</v>
      </c>
      <c r="B128" t="s">
        <v>1030</v>
      </c>
      <c r="C128">
        <v>37</v>
      </c>
      <c r="D128">
        <v>27</v>
      </c>
      <c r="E128" t="s">
        <v>1034</v>
      </c>
      <c r="F128" t="s">
        <v>1026</v>
      </c>
      <c r="G128" t="s">
        <v>1035</v>
      </c>
      <c r="H128" t="s">
        <v>3</v>
      </c>
      <c r="I128" t="s">
        <v>1027</v>
      </c>
      <c r="J128" s="1">
        <v>46174</v>
      </c>
      <c r="K128" t="s">
        <v>1028</v>
      </c>
    </row>
    <row r="129" spans="1:11" x14ac:dyDescent="0.45">
      <c r="A129" t="s">
        <v>139</v>
      </c>
      <c r="B129" t="s">
        <v>1024</v>
      </c>
      <c r="C129">
        <v>19</v>
      </c>
      <c r="D129">
        <v>0</v>
      </c>
      <c r="E129" t="s">
        <v>1025</v>
      </c>
      <c r="F129" t="s">
        <v>1033</v>
      </c>
      <c r="G129" t="s">
        <v>1</v>
      </c>
      <c r="H129" t="s">
        <v>2</v>
      </c>
      <c r="I129" t="s">
        <v>1027</v>
      </c>
      <c r="J129" s="1">
        <v>46174</v>
      </c>
      <c r="K129" t="s">
        <v>1028</v>
      </c>
    </row>
    <row r="130" spans="1:11" x14ac:dyDescent="0.45">
      <c r="A130" t="s">
        <v>140</v>
      </c>
      <c r="B130" t="s">
        <v>1030</v>
      </c>
      <c r="C130">
        <v>32</v>
      </c>
      <c r="D130">
        <v>0</v>
      </c>
      <c r="E130" t="s">
        <v>1025</v>
      </c>
      <c r="F130" t="s">
        <v>1026</v>
      </c>
      <c r="G130" t="s">
        <v>1</v>
      </c>
      <c r="H130" t="s">
        <v>2</v>
      </c>
      <c r="I130" t="s">
        <v>1027</v>
      </c>
      <c r="J130" s="1">
        <v>46174</v>
      </c>
      <c r="K130" t="s">
        <v>1028</v>
      </c>
    </row>
    <row r="131" spans="1:11" x14ac:dyDescent="0.45">
      <c r="A131" t="s">
        <v>141</v>
      </c>
      <c r="B131" t="s">
        <v>1029</v>
      </c>
      <c r="C131">
        <v>50</v>
      </c>
      <c r="D131">
        <v>2</v>
      </c>
      <c r="E131" t="s">
        <v>1025</v>
      </c>
      <c r="F131" t="s">
        <v>1026</v>
      </c>
      <c r="G131" t="s">
        <v>1</v>
      </c>
      <c r="H131" t="s">
        <v>2</v>
      </c>
      <c r="I131" t="s">
        <v>1027</v>
      </c>
      <c r="J131" s="1">
        <v>46174</v>
      </c>
      <c r="K131" t="s">
        <v>1028</v>
      </c>
    </row>
    <row r="132" spans="1:11" x14ac:dyDescent="0.45">
      <c r="A132" t="s">
        <v>142</v>
      </c>
      <c r="B132" t="s">
        <v>1024</v>
      </c>
      <c r="C132">
        <v>20</v>
      </c>
      <c r="D132">
        <v>1</v>
      </c>
      <c r="E132" t="s">
        <v>1025</v>
      </c>
      <c r="F132" t="s">
        <v>1031</v>
      </c>
      <c r="G132" t="s">
        <v>1</v>
      </c>
      <c r="H132" t="s">
        <v>2</v>
      </c>
      <c r="I132" t="s">
        <v>1027</v>
      </c>
      <c r="J132" s="1">
        <v>46174</v>
      </c>
      <c r="K132" t="s">
        <v>1028</v>
      </c>
    </row>
    <row r="133" spans="1:11" x14ac:dyDescent="0.45">
      <c r="A133" t="s">
        <v>143</v>
      </c>
      <c r="B133" t="s">
        <v>1029</v>
      </c>
      <c r="C133">
        <v>62</v>
      </c>
      <c r="D133">
        <v>2</v>
      </c>
      <c r="E133" t="s">
        <v>1025</v>
      </c>
      <c r="F133" t="s">
        <v>1031</v>
      </c>
      <c r="G133" t="s">
        <v>1</v>
      </c>
      <c r="H133" t="s">
        <v>2</v>
      </c>
      <c r="I133" t="s">
        <v>1027</v>
      </c>
      <c r="J133" s="1">
        <v>46174</v>
      </c>
      <c r="K133" t="s">
        <v>1028</v>
      </c>
    </row>
    <row r="134" spans="1:11" x14ac:dyDescent="0.45">
      <c r="A134" t="s">
        <v>144</v>
      </c>
      <c r="B134" t="s">
        <v>1024</v>
      </c>
      <c r="C134">
        <v>19</v>
      </c>
      <c r="D134">
        <v>2</v>
      </c>
      <c r="E134" t="s">
        <v>1025</v>
      </c>
      <c r="F134" t="s">
        <v>1033</v>
      </c>
      <c r="G134" t="s">
        <v>1</v>
      </c>
      <c r="H134" t="s">
        <v>2</v>
      </c>
      <c r="I134" t="s">
        <v>1027</v>
      </c>
      <c r="J134" s="1">
        <v>46174</v>
      </c>
      <c r="K134" t="s">
        <v>1028</v>
      </c>
    </row>
    <row r="135" spans="1:11" x14ac:dyDescent="0.45">
      <c r="A135" t="s">
        <v>145</v>
      </c>
      <c r="B135" t="s">
        <v>1030</v>
      </c>
      <c r="C135">
        <v>45</v>
      </c>
      <c r="D135">
        <v>3</v>
      </c>
      <c r="E135" t="s">
        <v>1025</v>
      </c>
      <c r="F135" t="s">
        <v>1033</v>
      </c>
      <c r="G135" t="s">
        <v>1</v>
      </c>
      <c r="H135" t="s">
        <v>2</v>
      </c>
      <c r="I135" t="s">
        <v>1027</v>
      </c>
      <c r="J135" s="1">
        <v>46174</v>
      </c>
      <c r="K135" t="s">
        <v>1028</v>
      </c>
    </row>
    <row r="136" spans="1:11" x14ac:dyDescent="0.45">
      <c r="A136" t="s">
        <v>146</v>
      </c>
      <c r="B136" t="s">
        <v>1024</v>
      </c>
      <c r="C136">
        <v>17</v>
      </c>
      <c r="D136">
        <v>0</v>
      </c>
      <c r="E136" t="s">
        <v>1025</v>
      </c>
      <c r="F136" t="s">
        <v>1032</v>
      </c>
      <c r="G136" t="s">
        <v>1</v>
      </c>
      <c r="H136" t="s">
        <v>2</v>
      </c>
      <c r="I136" t="s">
        <v>1027</v>
      </c>
      <c r="J136" s="1">
        <v>46174</v>
      </c>
      <c r="K136" t="s">
        <v>1028</v>
      </c>
    </row>
    <row r="137" spans="1:11" x14ac:dyDescent="0.45">
      <c r="A137" t="s">
        <v>147</v>
      </c>
      <c r="B137" t="s">
        <v>1030</v>
      </c>
      <c r="C137">
        <v>38</v>
      </c>
      <c r="D137">
        <v>0</v>
      </c>
      <c r="E137" t="s">
        <v>1025</v>
      </c>
      <c r="F137" t="s">
        <v>1026</v>
      </c>
      <c r="G137" t="s">
        <v>1</v>
      </c>
      <c r="H137" t="s">
        <v>2</v>
      </c>
      <c r="I137" t="s">
        <v>1027</v>
      </c>
      <c r="J137" s="1">
        <v>46174</v>
      </c>
      <c r="K137" t="s">
        <v>1028</v>
      </c>
    </row>
    <row r="138" spans="1:11" x14ac:dyDescent="0.45">
      <c r="A138" t="s">
        <v>148</v>
      </c>
      <c r="B138" t="s">
        <v>1029</v>
      </c>
      <c r="C138">
        <v>48</v>
      </c>
      <c r="D138">
        <v>1</v>
      </c>
      <c r="E138" t="s">
        <v>1025</v>
      </c>
      <c r="F138" t="s">
        <v>1031</v>
      </c>
      <c r="G138" t="s">
        <v>1</v>
      </c>
      <c r="H138" t="s">
        <v>2</v>
      </c>
      <c r="I138" t="s">
        <v>1027</v>
      </c>
      <c r="J138" s="1">
        <v>46174</v>
      </c>
      <c r="K138" t="s">
        <v>1028</v>
      </c>
    </row>
    <row r="139" spans="1:11" x14ac:dyDescent="0.45">
      <c r="A139" t="s">
        <v>149</v>
      </c>
      <c r="B139" t="s">
        <v>1024</v>
      </c>
      <c r="C139">
        <v>25</v>
      </c>
      <c r="D139">
        <v>1</v>
      </c>
      <c r="E139" t="s">
        <v>1025</v>
      </c>
      <c r="F139" t="s">
        <v>1033</v>
      </c>
      <c r="G139" t="s">
        <v>1</v>
      </c>
      <c r="H139" t="s">
        <v>2</v>
      </c>
      <c r="I139" t="s">
        <v>1027</v>
      </c>
      <c r="J139" s="1">
        <v>46174</v>
      </c>
      <c r="K139" t="s">
        <v>1028</v>
      </c>
    </row>
    <row r="140" spans="1:11" x14ac:dyDescent="0.45">
      <c r="A140" t="s">
        <v>150</v>
      </c>
      <c r="B140" t="s">
        <v>1024</v>
      </c>
      <c r="C140">
        <v>23</v>
      </c>
      <c r="D140">
        <v>1</v>
      </c>
      <c r="E140" t="s">
        <v>1025</v>
      </c>
      <c r="F140" t="s">
        <v>1033</v>
      </c>
      <c r="G140" t="s">
        <v>1</v>
      </c>
      <c r="H140" t="s">
        <v>2</v>
      </c>
      <c r="I140" t="s">
        <v>1027</v>
      </c>
      <c r="J140" s="1">
        <v>46174</v>
      </c>
      <c r="K140" t="s">
        <v>1028</v>
      </c>
    </row>
    <row r="141" spans="1:11" x14ac:dyDescent="0.45">
      <c r="A141" t="s">
        <v>151</v>
      </c>
      <c r="B141" t="s">
        <v>1029</v>
      </c>
      <c r="C141">
        <v>61</v>
      </c>
      <c r="D141">
        <v>0</v>
      </c>
      <c r="E141" t="s">
        <v>1025</v>
      </c>
      <c r="F141" t="s">
        <v>1032</v>
      </c>
      <c r="G141" t="s">
        <v>1</v>
      </c>
      <c r="H141" t="s">
        <v>2</v>
      </c>
      <c r="I141" t="s">
        <v>1027</v>
      </c>
      <c r="J141" s="1">
        <v>46174</v>
      </c>
      <c r="K141" t="s">
        <v>1028</v>
      </c>
    </row>
    <row r="142" spans="1:11" x14ac:dyDescent="0.45">
      <c r="A142" t="s">
        <v>152</v>
      </c>
      <c r="B142" t="s">
        <v>1029</v>
      </c>
      <c r="C142">
        <v>65</v>
      </c>
      <c r="D142">
        <v>5</v>
      </c>
      <c r="E142" t="s">
        <v>1025</v>
      </c>
      <c r="F142" t="s">
        <v>1032</v>
      </c>
      <c r="G142" t="s">
        <v>1</v>
      </c>
      <c r="H142" t="s">
        <v>2</v>
      </c>
      <c r="I142" t="s">
        <v>1027</v>
      </c>
      <c r="J142" s="1">
        <v>46174</v>
      </c>
      <c r="K142" t="s">
        <v>1028</v>
      </c>
    </row>
    <row r="143" spans="1:11" x14ac:dyDescent="0.45">
      <c r="A143" t="s">
        <v>153</v>
      </c>
      <c r="B143" t="s">
        <v>1024</v>
      </c>
      <c r="C143">
        <v>10</v>
      </c>
      <c r="D143">
        <v>0</v>
      </c>
      <c r="E143" t="s">
        <v>1025</v>
      </c>
      <c r="F143" t="s">
        <v>1032</v>
      </c>
      <c r="G143" t="s">
        <v>1</v>
      </c>
      <c r="H143" t="s">
        <v>2</v>
      </c>
      <c r="I143" t="s">
        <v>1027</v>
      </c>
      <c r="J143" s="1">
        <v>46174</v>
      </c>
      <c r="K143" t="s">
        <v>1028</v>
      </c>
    </row>
    <row r="144" spans="1:11" x14ac:dyDescent="0.45">
      <c r="A144" t="s">
        <v>154</v>
      </c>
      <c r="B144" t="s">
        <v>1024</v>
      </c>
      <c r="C144">
        <v>15</v>
      </c>
      <c r="D144">
        <v>0</v>
      </c>
      <c r="E144" t="s">
        <v>1025</v>
      </c>
      <c r="F144" t="s">
        <v>1026</v>
      </c>
      <c r="G144" t="s">
        <v>1</v>
      </c>
      <c r="H144" t="s">
        <v>2</v>
      </c>
      <c r="I144" t="s">
        <v>1027</v>
      </c>
      <c r="J144" s="1">
        <v>46174</v>
      </c>
      <c r="K144" t="s">
        <v>1028</v>
      </c>
    </row>
    <row r="145" spans="1:11" x14ac:dyDescent="0.45">
      <c r="A145" t="s">
        <v>155</v>
      </c>
      <c r="B145" t="s">
        <v>1024</v>
      </c>
      <c r="C145">
        <v>22</v>
      </c>
      <c r="D145">
        <v>0</v>
      </c>
      <c r="E145" t="s">
        <v>1025</v>
      </c>
      <c r="F145" t="s">
        <v>1033</v>
      </c>
      <c r="G145" t="s">
        <v>1</v>
      </c>
      <c r="H145" t="s">
        <v>2</v>
      </c>
      <c r="I145" t="s">
        <v>1027</v>
      </c>
      <c r="J145" s="1">
        <v>46174</v>
      </c>
      <c r="K145" t="s">
        <v>1028</v>
      </c>
    </row>
    <row r="146" spans="1:11" x14ac:dyDescent="0.45">
      <c r="A146" t="s">
        <v>156</v>
      </c>
      <c r="B146" t="s">
        <v>1030</v>
      </c>
      <c r="C146">
        <v>46</v>
      </c>
      <c r="D146">
        <v>1</v>
      </c>
      <c r="E146" t="s">
        <v>1025</v>
      </c>
      <c r="F146" t="s">
        <v>1026</v>
      </c>
      <c r="G146" t="s">
        <v>1</v>
      </c>
      <c r="H146" t="s">
        <v>2</v>
      </c>
      <c r="I146" t="s">
        <v>1027</v>
      </c>
      <c r="J146" s="1">
        <v>46174</v>
      </c>
      <c r="K146" t="s">
        <v>1028</v>
      </c>
    </row>
    <row r="147" spans="1:11" x14ac:dyDescent="0.45">
      <c r="A147" t="s">
        <v>157</v>
      </c>
      <c r="B147" t="s">
        <v>1029</v>
      </c>
      <c r="C147">
        <v>55</v>
      </c>
      <c r="D147">
        <v>1</v>
      </c>
      <c r="E147" t="s">
        <v>1025</v>
      </c>
      <c r="F147" t="s">
        <v>1032</v>
      </c>
      <c r="G147" t="s">
        <v>1</v>
      </c>
      <c r="H147" t="s">
        <v>2</v>
      </c>
      <c r="I147" t="s">
        <v>1027</v>
      </c>
      <c r="J147" s="1">
        <v>46174</v>
      </c>
      <c r="K147" t="s">
        <v>1028</v>
      </c>
    </row>
    <row r="148" spans="1:11" x14ac:dyDescent="0.45">
      <c r="A148" t="s">
        <v>158</v>
      </c>
      <c r="B148" t="s">
        <v>1024</v>
      </c>
      <c r="C148">
        <v>19</v>
      </c>
      <c r="D148">
        <v>2</v>
      </c>
      <c r="E148" t="s">
        <v>1025</v>
      </c>
      <c r="F148" t="s">
        <v>1033</v>
      </c>
      <c r="G148" t="s">
        <v>1</v>
      </c>
      <c r="H148" t="s">
        <v>2</v>
      </c>
      <c r="I148" t="s">
        <v>1027</v>
      </c>
      <c r="J148" s="1">
        <v>46174</v>
      </c>
      <c r="K148" t="s">
        <v>1028</v>
      </c>
    </row>
    <row r="149" spans="1:11" x14ac:dyDescent="0.45">
      <c r="A149" t="s">
        <v>159</v>
      </c>
      <c r="B149" t="s">
        <v>1030</v>
      </c>
      <c r="C149">
        <v>45</v>
      </c>
      <c r="D149">
        <v>1</v>
      </c>
      <c r="E149" t="s">
        <v>1025</v>
      </c>
      <c r="F149" t="s">
        <v>1026</v>
      </c>
      <c r="G149" t="s">
        <v>1</v>
      </c>
      <c r="H149" t="s">
        <v>2</v>
      </c>
      <c r="I149" t="s">
        <v>1027</v>
      </c>
      <c r="J149" s="1">
        <v>46174</v>
      </c>
      <c r="K149" t="s">
        <v>1028</v>
      </c>
    </row>
    <row r="150" spans="1:11" x14ac:dyDescent="0.45">
      <c r="A150" t="s">
        <v>160</v>
      </c>
      <c r="B150" t="s">
        <v>1030</v>
      </c>
      <c r="C150">
        <v>46</v>
      </c>
      <c r="D150">
        <v>0</v>
      </c>
      <c r="E150" t="s">
        <v>1025</v>
      </c>
      <c r="F150" t="s">
        <v>1033</v>
      </c>
      <c r="G150" t="s">
        <v>1</v>
      </c>
      <c r="H150" t="s">
        <v>2</v>
      </c>
      <c r="I150" t="s">
        <v>1027</v>
      </c>
      <c r="J150" s="1">
        <v>46174</v>
      </c>
      <c r="K150" t="s">
        <v>1028</v>
      </c>
    </row>
    <row r="151" spans="1:11" x14ac:dyDescent="0.45">
      <c r="A151" t="s">
        <v>161</v>
      </c>
      <c r="B151" t="s">
        <v>1030</v>
      </c>
      <c r="C151">
        <v>48</v>
      </c>
      <c r="D151">
        <v>1</v>
      </c>
      <c r="E151" t="s">
        <v>1025</v>
      </c>
      <c r="F151" t="s">
        <v>1031</v>
      </c>
      <c r="G151" t="s">
        <v>1</v>
      </c>
      <c r="H151" t="s">
        <v>2</v>
      </c>
      <c r="I151" t="s">
        <v>1027</v>
      </c>
      <c r="J151" s="1">
        <v>46174</v>
      </c>
      <c r="K151" t="s">
        <v>1028</v>
      </c>
    </row>
    <row r="152" spans="1:11" x14ac:dyDescent="0.45">
      <c r="A152" t="s">
        <v>162</v>
      </c>
      <c r="B152" t="s">
        <v>1029</v>
      </c>
      <c r="C152">
        <v>64</v>
      </c>
      <c r="D152">
        <v>1</v>
      </c>
      <c r="E152" t="s">
        <v>1025</v>
      </c>
      <c r="F152" t="s">
        <v>1031</v>
      </c>
      <c r="G152" t="s">
        <v>1</v>
      </c>
      <c r="H152" t="s">
        <v>2</v>
      </c>
      <c r="I152" t="s">
        <v>1027</v>
      </c>
      <c r="J152" s="1">
        <v>46174</v>
      </c>
      <c r="K152" t="s">
        <v>1028</v>
      </c>
    </row>
    <row r="153" spans="1:11" x14ac:dyDescent="0.45">
      <c r="A153" t="s">
        <v>163</v>
      </c>
      <c r="B153" t="s">
        <v>1029</v>
      </c>
      <c r="C153">
        <v>51</v>
      </c>
      <c r="D153">
        <v>5</v>
      </c>
      <c r="E153" t="s">
        <v>1025</v>
      </c>
      <c r="F153" t="s">
        <v>1026</v>
      </c>
      <c r="G153" t="s">
        <v>1</v>
      </c>
      <c r="H153" t="s">
        <v>2</v>
      </c>
      <c r="I153" t="s">
        <v>1027</v>
      </c>
      <c r="J153" s="1">
        <v>46174</v>
      </c>
      <c r="K153" t="s">
        <v>1028</v>
      </c>
    </row>
    <row r="154" spans="1:11" x14ac:dyDescent="0.45">
      <c r="A154" t="s">
        <v>164</v>
      </c>
      <c r="B154" t="s">
        <v>1029</v>
      </c>
      <c r="C154">
        <v>58</v>
      </c>
      <c r="D154">
        <v>3</v>
      </c>
      <c r="E154" t="s">
        <v>1025</v>
      </c>
      <c r="F154" t="s">
        <v>1026</v>
      </c>
      <c r="G154" t="s">
        <v>1</v>
      </c>
      <c r="H154" t="s">
        <v>2</v>
      </c>
      <c r="I154" t="s">
        <v>1027</v>
      </c>
      <c r="J154" s="1">
        <v>46174</v>
      </c>
      <c r="K154" t="s">
        <v>1028</v>
      </c>
    </row>
    <row r="155" spans="1:11" x14ac:dyDescent="0.45">
      <c r="A155" t="s">
        <v>165</v>
      </c>
      <c r="B155" t="s">
        <v>1029</v>
      </c>
      <c r="C155">
        <v>54</v>
      </c>
      <c r="D155">
        <v>0</v>
      </c>
      <c r="E155" t="s">
        <v>1025</v>
      </c>
      <c r="F155" t="s">
        <v>1031</v>
      </c>
      <c r="G155" t="s">
        <v>1</v>
      </c>
      <c r="H155" t="s">
        <v>2</v>
      </c>
      <c r="I155" t="s">
        <v>1027</v>
      </c>
      <c r="J155" s="1">
        <v>46174</v>
      </c>
      <c r="K155" t="s">
        <v>1028</v>
      </c>
    </row>
    <row r="156" spans="1:11" x14ac:dyDescent="0.45">
      <c r="A156" t="s">
        <v>166</v>
      </c>
      <c r="B156" t="s">
        <v>1030</v>
      </c>
      <c r="C156">
        <v>43</v>
      </c>
      <c r="D156">
        <v>2</v>
      </c>
      <c r="E156" t="s">
        <v>1025</v>
      </c>
      <c r="F156" t="s">
        <v>1033</v>
      </c>
      <c r="G156" t="s">
        <v>1</v>
      </c>
      <c r="H156" t="s">
        <v>2</v>
      </c>
      <c r="I156" t="s">
        <v>1027</v>
      </c>
      <c r="J156" s="1">
        <v>46174</v>
      </c>
      <c r="K156" t="s">
        <v>1028</v>
      </c>
    </row>
    <row r="157" spans="1:11" x14ac:dyDescent="0.45">
      <c r="A157" t="s">
        <v>167</v>
      </c>
      <c r="B157" t="s">
        <v>1024</v>
      </c>
      <c r="C157">
        <v>10</v>
      </c>
      <c r="D157">
        <v>14</v>
      </c>
      <c r="E157" t="s">
        <v>1036</v>
      </c>
      <c r="F157" t="s">
        <v>1026</v>
      </c>
      <c r="G157" t="s">
        <v>1035</v>
      </c>
      <c r="H157" t="s">
        <v>3</v>
      </c>
      <c r="I157" t="s">
        <v>1027</v>
      </c>
      <c r="J157" s="1">
        <v>46174</v>
      </c>
      <c r="K157" t="s">
        <v>1028</v>
      </c>
    </row>
    <row r="158" spans="1:11" x14ac:dyDescent="0.45">
      <c r="A158" t="s">
        <v>168</v>
      </c>
      <c r="B158" t="s">
        <v>1024</v>
      </c>
      <c r="C158">
        <v>24</v>
      </c>
      <c r="D158">
        <v>17</v>
      </c>
      <c r="E158" t="s">
        <v>1034</v>
      </c>
      <c r="F158" t="s">
        <v>1033</v>
      </c>
      <c r="G158" t="s">
        <v>1035</v>
      </c>
      <c r="H158" t="s">
        <v>3</v>
      </c>
      <c r="I158" t="s">
        <v>1027</v>
      </c>
      <c r="J158" s="1">
        <v>46174</v>
      </c>
      <c r="K158" t="s">
        <v>1028</v>
      </c>
    </row>
    <row r="159" spans="1:11" x14ac:dyDescent="0.45">
      <c r="A159" t="s">
        <v>169</v>
      </c>
      <c r="B159" t="s">
        <v>1024</v>
      </c>
      <c r="C159">
        <v>20</v>
      </c>
      <c r="D159">
        <v>1</v>
      </c>
      <c r="E159" t="s">
        <v>1025</v>
      </c>
      <c r="F159" t="s">
        <v>1033</v>
      </c>
      <c r="G159" t="s">
        <v>1</v>
      </c>
      <c r="H159" t="s">
        <v>2</v>
      </c>
      <c r="I159" t="s">
        <v>1027</v>
      </c>
      <c r="J159" s="1">
        <v>46174</v>
      </c>
      <c r="K159" t="s">
        <v>1028</v>
      </c>
    </row>
    <row r="160" spans="1:11" x14ac:dyDescent="0.45">
      <c r="A160" t="s">
        <v>170</v>
      </c>
      <c r="B160" t="s">
        <v>1029</v>
      </c>
      <c r="C160">
        <v>60</v>
      </c>
      <c r="D160">
        <v>2</v>
      </c>
      <c r="E160" t="s">
        <v>1025</v>
      </c>
      <c r="F160" t="s">
        <v>1032</v>
      </c>
      <c r="G160" t="s">
        <v>1</v>
      </c>
      <c r="H160" t="s">
        <v>2</v>
      </c>
      <c r="I160" t="s">
        <v>1027</v>
      </c>
      <c r="J160" s="1">
        <v>46174</v>
      </c>
      <c r="K160" t="s">
        <v>1028</v>
      </c>
    </row>
    <row r="161" spans="1:11" x14ac:dyDescent="0.45">
      <c r="A161" t="s">
        <v>171</v>
      </c>
      <c r="B161" t="s">
        <v>1024</v>
      </c>
      <c r="C161">
        <v>25</v>
      </c>
      <c r="D161">
        <v>3</v>
      </c>
      <c r="E161" t="s">
        <v>1025</v>
      </c>
      <c r="F161" t="s">
        <v>1031</v>
      </c>
      <c r="G161" t="s">
        <v>1</v>
      </c>
      <c r="H161" t="s">
        <v>2</v>
      </c>
      <c r="I161" t="s">
        <v>1027</v>
      </c>
      <c r="J161" s="1">
        <v>46174</v>
      </c>
      <c r="K161" t="s">
        <v>1028</v>
      </c>
    </row>
    <row r="162" spans="1:11" x14ac:dyDescent="0.45">
      <c r="A162" t="s">
        <v>172</v>
      </c>
      <c r="B162" t="s">
        <v>1024</v>
      </c>
      <c r="C162">
        <v>13</v>
      </c>
      <c r="D162">
        <v>2</v>
      </c>
      <c r="E162" t="s">
        <v>1025</v>
      </c>
      <c r="F162" t="s">
        <v>1031</v>
      </c>
      <c r="G162" t="s">
        <v>1</v>
      </c>
      <c r="H162" t="s">
        <v>2</v>
      </c>
      <c r="I162" t="s">
        <v>1027</v>
      </c>
      <c r="J162" s="1">
        <v>46174</v>
      </c>
      <c r="K162" t="s">
        <v>1028</v>
      </c>
    </row>
    <row r="163" spans="1:11" x14ac:dyDescent="0.45">
      <c r="A163" t="s">
        <v>173</v>
      </c>
      <c r="B163" t="s">
        <v>1024</v>
      </c>
      <c r="C163">
        <v>21</v>
      </c>
      <c r="D163">
        <v>1</v>
      </c>
      <c r="E163" t="s">
        <v>1025</v>
      </c>
      <c r="F163" t="s">
        <v>1032</v>
      </c>
      <c r="G163" t="s">
        <v>1</v>
      </c>
      <c r="H163" t="s">
        <v>2</v>
      </c>
      <c r="I163" t="s">
        <v>1027</v>
      </c>
      <c r="J163" s="1">
        <v>46174</v>
      </c>
      <c r="K163" t="s">
        <v>1028</v>
      </c>
    </row>
    <row r="164" spans="1:11" x14ac:dyDescent="0.45">
      <c r="A164" t="s">
        <v>174</v>
      </c>
      <c r="B164" t="s">
        <v>1029</v>
      </c>
      <c r="C164">
        <v>48</v>
      </c>
      <c r="D164">
        <v>1</v>
      </c>
      <c r="E164" t="s">
        <v>1025</v>
      </c>
      <c r="F164" t="s">
        <v>1033</v>
      </c>
      <c r="G164" t="s">
        <v>1</v>
      </c>
      <c r="H164" t="s">
        <v>2</v>
      </c>
      <c r="I164" t="s">
        <v>1027</v>
      </c>
      <c r="J164" s="1">
        <v>46174</v>
      </c>
      <c r="K164" t="s">
        <v>1028</v>
      </c>
    </row>
    <row r="165" spans="1:11" x14ac:dyDescent="0.45">
      <c r="A165" t="s">
        <v>175</v>
      </c>
      <c r="B165" t="s">
        <v>1029</v>
      </c>
      <c r="C165">
        <v>60</v>
      </c>
      <c r="D165">
        <v>35</v>
      </c>
      <c r="E165" t="s">
        <v>1034</v>
      </c>
      <c r="F165" t="s">
        <v>1026</v>
      </c>
      <c r="G165" t="s">
        <v>1035</v>
      </c>
      <c r="H165" t="s">
        <v>3</v>
      </c>
      <c r="I165" t="s">
        <v>1027</v>
      </c>
      <c r="J165" s="1">
        <v>46174</v>
      </c>
      <c r="K165" t="s">
        <v>1028</v>
      </c>
    </row>
    <row r="166" spans="1:11" x14ac:dyDescent="0.45">
      <c r="A166" t="s">
        <v>176</v>
      </c>
      <c r="B166" t="s">
        <v>1030</v>
      </c>
      <c r="C166">
        <v>30</v>
      </c>
      <c r="D166">
        <v>2</v>
      </c>
      <c r="E166" t="s">
        <v>1025</v>
      </c>
      <c r="F166" t="s">
        <v>1031</v>
      </c>
      <c r="G166" t="s">
        <v>1</v>
      </c>
      <c r="H166" t="s">
        <v>2</v>
      </c>
      <c r="I166" t="s">
        <v>1027</v>
      </c>
      <c r="J166" s="1">
        <v>46174</v>
      </c>
      <c r="K166" t="s">
        <v>1028</v>
      </c>
    </row>
    <row r="167" spans="1:11" x14ac:dyDescent="0.45">
      <c r="A167" t="s">
        <v>177</v>
      </c>
      <c r="B167" t="s">
        <v>1030</v>
      </c>
      <c r="C167">
        <v>41</v>
      </c>
      <c r="D167">
        <v>2</v>
      </c>
      <c r="E167" t="s">
        <v>1025</v>
      </c>
      <c r="F167" t="s">
        <v>1031</v>
      </c>
      <c r="G167" t="s">
        <v>1</v>
      </c>
      <c r="H167" t="s">
        <v>2</v>
      </c>
      <c r="I167" t="s">
        <v>1027</v>
      </c>
      <c r="J167" s="1">
        <v>46174</v>
      </c>
      <c r="K167" t="s">
        <v>1028</v>
      </c>
    </row>
    <row r="168" spans="1:11" x14ac:dyDescent="0.45">
      <c r="A168" t="s">
        <v>178</v>
      </c>
      <c r="B168" t="s">
        <v>1029</v>
      </c>
      <c r="C168">
        <v>62</v>
      </c>
      <c r="D168">
        <v>0</v>
      </c>
      <c r="E168" t="s">
        <v>1025</v>
      </c>
      <c r="F168" t="s">
        <v>1032</v>
      </c>
      <c r="G168" t="s">
        <v>1</v>
      </c>
      <c r="H168" t="s">
        <v>2</v>
      </c>
      <c r="I168" t="s">
        <v>1027</v>
      </c>
      <c r="J168" s="1">
        <v>46174</v>
      </c>
      <c r="K168" t="s">
        <v>1028</v>
      </c>
    </row>
    <row r="169" spans="1:11" x14ac:dyDescent="0.45">
      <c r="A169" t="s">
        <v>179</v>
      </c>
      <c r="B169" t="s">
        <v>1024</v>
      </c>
      <c r="C169">
        <v>22</v>
      </c>
      <c r="D169">
        <v>0</v>
      </c>
      <c r="E169" t="s">
        <v>1025</v>
      </c>
      <c r="F169" t="s">
        <v>1032</v>
      </c>
      <c r="G169" t="s">
        <v>1</v>
      </c>
      <c r="H169" t="s">
        <v>2</v>
      </c>
      <c r="I169" t="s">
        <v>1027</v>
      </c>
      <c r="J169" s="1">
        <v>46174</v>
      </c>
      <c r="K169" t="s">
        <v>1028</v>
      </c>
    </row>
    <row r="170" spans="1:11" x14ac:dyDescent="0.45">
      <c r="A170" t="s">
        <v>180</v>
      </c>
      <c r="B170" t="s">
        <v>1030</v>
      </c>
      <c r="C170">
        <v>47</v>
      </c>
      <c r="D170">
        <v>1</v>
      </c>
      <c r="E170" t="s">
        <v>1025</v>
      </c>
      <c r="F170" t="s">
        <v>1032</v>
      </c>
      <c r="G170" t="s">
        <v>1</v>
      </c>
      <c r="H170" t="s">
        <v>2</v>
      </c>
      <c r="I170" t="s">
        <v>1027</v>
      </c>
      <c r="J170" s="1">
        <v>46174</v>
      </c>
      <c r="K170" t="s">
        <v>1028</v>
      </c>
    </row>
    <row r="171" spans="1:11" x14ac:dyDescent="0.45">
      <c r="A171" t="s">
        <v>181</v>
      </c>
      <c r="B171" t="s">
        <v>1030</v>
      </c>
      <c r="C171">
        <v>45</v>
      </c>
      <c r="D171">
        <v>4</v>
      </c>
      <c r="E171" t="s">
        <v>1025</v>
      </c>
      <c r="F171" t="s">
        <v>1026</v>
      </c>
      <c r="G171" t="s">
        <v>1</v>
      </c>
      <c r="H171" t="s">
        <v>2</v>
      </c>
      <c r="I171" t="s">
        <v>1027</v>
      </c>
      <c r="J171" s="1">
        <v>46174</v>
      </c>
      <c r="K171" t="s">
        <v>1028</v>
      </c>
    </row>
    <row r="172" spans="1:11" x14ac:dyDescent="0.45">
      <c r="A172" t="s">
        <v>182</v>
      </c>
      <c r="B172" t="s">
        <v>1024</v>
      </c>
      <c r="C172">
        <v>24</v>
      </c>
      <c r="D172">
        <v>1</v>
      </c>
      <c r="E172" t="s">
        <v>1025</v>
      </c>
      <c r="F172" t="s">
        <v>1032</v>
      </c>
      <c r="G172" t="s">
        <v>1</v>
      </c>
      <c r="H172" t="s">
        <v>2</v>
      </c>
      <c r="I172" t="s">
        <v>1027</v>
      </c>
      <c r="J172" s="1">
        <v>46174</v>
      </c>
      <c r="K172" t="s">
        <v>1028</v>
      </c>
    </row>
    <row r="173" spans="1:11" x14ac:dyDescent="0.45">
      <c r="A173" t="s">
        <v>183</v>
      </c>
      <c r="B173" t="s">
        <v>1030</v>
      </c>
      <c r="C173">
        <v>42</v>
      </c>
      <c r="D173">
        <v>3</v>
      </c>
      <c r="E173" t="s">
        <v>1025</v>
      </c>
      <c r="F173" t="s">
        <v>1032</v>
      </c>
      <c r="G173" t="s">
        <v>1</v>
      </c>
      <c r="H173" t="s">
        <v>2</v>
      </c>
      <c r="I173" t="s">
        <v>1027</v>
      </c>
      <c r="J173" s="1">
        <v>46174</v>
      </c>
      <c r="K173" t="s">
        <v>1028</v>
      </c>
    </row>
    <row r="174" spans="1:11" x14ac:dyDescent="0.45">
      <c r="A174" t="s">
        <v>184</v>
      </c>
      <c r="B174" t="s">
        <v>1029</v>
      </c>
      <c r="C174">
        <v>49</v>
      </c>
      <c r="D174">
        <v>1</v>
      </c>
      <c r="E174" t="s">
        <v>1025</v>
      </c>
      <c r="F174" t="s">
        <v>1026</v>
      </c>
      <c r="G174" t="s">
        <v>1</v>
      </c>
      <c r="H174" t="s">
        <v>2</v>
      </c>
      <c r="I174" t="s">
        <v>1027</v>
      </c>
      <c r="J174" s="1">
        <v>46174</v>
      </c>
      <c r="K174" t="s">
        <v>1028</v>
      </c>
    </row>
    <row r="175" spans="1:11" x14ac:dyDescent="0.45">
      <c r="A175" t="s">
        <v>185</v>
      </c>
      <c r="B175" t="s">
        <v>1029</v>
      </c>
      <c r="C175">
        <v>64</v>
      </c>
      <c r="D175">
        <v>0</v>
      </c>
      <c r="E175" t="s">
        <v>1025</v>
      </c>
      <c r="F175" t="s">
        <v>1032</v>
      </c>
      <c r="G175" t="s">
        <v>1</v>
      </c>
      <c r="H175" t="s">
        <v>2</v>
      </c>
      <c r="I175" t="s">
        <v>1027</v>
      </c>
      <c r="J175" s="1">
        <v>46174</v>
      </c>
      <c r="K175" t="s">
        <v>1028</v>
      </c>
    </row>
    <row r="176" spans="1:11" x14ac:dyDescent="0.45">
      <c r="A176" t="s">
        <v>186</v>
      </c>
      <c r="B176" t="s">
        <v>1024</v>
      </c>
      <c r="C176">
        <v>16</v>
      </c>
      <c r="D176">
        <v>35</v>
      </c>
      <c r="E176" t="s">
        <v>1034</v>
      </c>
      <c r="F176" t="s">
        <v>1033</v>
      </c>
      <c r="G176" t="s">
        <v>1035</v>
      </c>
      <c r="H176" t="s">
        <v>3</v>
      </c>
      <c r="I176" t="s">
        <v>1027</v>
      </c>
      <c r="J176" s="1">
        <v>46174</v>
      </c>
      <c r="K176" t="s">
        <v>1028</v>
      </c>
    </row>
    <row r="177" spans="1:11" x14ac:dyDescent="0.45">
      <c r="A177" t="s">
        <v>187</v>
      </c>
      <c r="B177" t="s">
        <v>1024</v>
      </c>
      <c r="C177">
        <v>22</v>
      </c>
      <c r="D177">
        <v>2</v>
      </c>
      <c r="E177" t="s">
        <v>1025</v>
      </c>
      <c r="F177" t="s">
        <v>1033</v>
      </c>
      <c r="G177" t="s">
        <v>1</v>
      </c>
      <c r="H177" t="s">
        <v>2</v>
      </c>
      <c r="I177" t="s">
        <v>1027</v>
      </c>
      <c r="J177" s="1">
        <v>46174</v>
      </c>
      <c r="K177" t="s">
        <v>1028</v>
      </c>
    </row>
    <row r="178" spans="1:11" x14ac:dyDescent="0.45">
      <c r="A178" t="s">
        <v>188</v>
      </c>
      <c r="B178" t="s">
        <v>1029</v>
      </c>
      <c r="C178">
        <v>50</v>
      </c>
      <c r="D178">
        <v>0</v>
      </c>
      <c r="E178" t="s">
        <v>1025</v>
      </c>
      <c r="F178" t="s">
        <v>1031</v>
      </c>
      <c r="G178" t="s">
        <v>1</v>
      </c>
      <c r="H178" t="s">
        <v>2</v>
      </c>
      <c r="I178" t="s">
        <v>1027</v>
      </c>
      <c r="J178" s="1">
        <v>46174</v>
      </c>
      <c r="K178" t="s">
        <v>1028</v>
      </c>
    </row>
    <row r="179" spans="1:11" x14ac:dyDescent="0.45">
      <c r="A179" t="s">
        <v>189</v>
      </c>
      <c r="B179" t="s">
        <v>1030</v>
      </c>
      <c r="C179">
        <v>38</v>
      </c>
      <c r="D179">
        <v>0</v>
      </c>
      <c r="E179" t="s">
        <v>1025</v>
      </c>
      <c r="F179" t="s">
        <v>1031</v>
      </c>
      <c r="G179" t="s">
        <v>1</v>
      </c>
      <c r="H179" t="s">
        <v>2</v>
      </c>
      <c r="I179" t="s">
        <v>1027</v>
      </c>
      <c r="J179" s="1">
        <v>46174</v>
      </c>
      <c r="K179" t="s">
        <v>1028</v>
      </c>
    </row>
    <row r="180" spans="1:11" x14ac:dyDescent="0.45">
      <c r="A180" t="s">
        <v>190</v>
      </c>
      <c r="B180" t="s">
        <v>1029</v>
      </c>
      <c r="C180">
        <v>64</v>
      </c>
      <c r="D180">
        <v>1</v>
      </c>
      <c r="E180" t="s">
        <v>1025</v>
      </c>
      <c r="F180" t="s">
        <v>1026</v>
      </c>
      <c r="G180" t="s">
        <v>1</v>
      </c>
      <c r="H180" t="s">
        <v>2</v>
      </c>
      <c r="I180" t="s">
        <v>1027</v>
      </c>
      <c r="J180" s="1">
        <v>46174</v>
      </c>
      <c r="K180" t="s">
        <v>1028</v>
      </c>
    </row>
    <row r="181" spans="1:11" x14ac:dyDescent="0.45">
      <c r="A181" t="s">
        <v>191</v>
      </c>
      <c r="B181" t="s">
        <v>1024</v>
      </c>
      <c r="C181">
        <v>10</v>
      </c>
      <c r="D181">
        <v>1</v>
      </c>
      <c r="E181" t="s">
        <v>1025</v>
      </c>
      <c r="F181" t="s">
        <v>1026</v>
      </c>
      <c r="G181" t="s">
        <v>1</v>
      </c>
      <c r="H181" t="s">
        <v>2</v>
      </c>
      <c r="I181" t="s">
        <v>1027</v>
      </c>
      <c r="J181" s="1">
        <v>46174</v>
      </c>
      <c r="K181" t="s">
        <v>1028</v>
      </c>
    </row>
    <row r="182" spans="1:11" x14ac:dyDescent="0.45">
      <c r="A182" t="s">
        <v>192</v>
      </c>
      <c r="B182" t="s">
        <v>1029</v>
      </c>
      <c r="C182">
        <v>61</v>
      </c>
      <c r="D182">
        <v>34</v>
      </c>
      <c r="E182" t="s">
        <v>1034</v>
      </c>
      <c r="F182" t="s">
        <v>1026</v>
      </c>
      <c r="G182" t="s">
        <v>1035</v>
      </c>
      <c r="H182" t="s">
        <v>3</v>
      </c>
      <c r="I182" t="s">
        <v>1027</v>
      </c>
      <c r="J182" s="1">
        <v>46174</v>
      </c>
      <c r="K182" t="s">
        <v>1028</v>
      </c>
    </row>
    <row r="183" spans="1:11" x14ac:dyDescent="0.45">
      <c r="A183" t="s">
        <v>193</v>
      </c>
      <c r="B183" t="s">
        <v>1024</v>
      </c>
      <c r="C183">
        <v>24</v>
      </c>
      <c r="D183">
        <v>1</v>
      </c>
      <c r="E183" t="s">
        <v>1025</v>
      </c>
      <c r="F183" t="s">
        <v>1032</v>
      </c>
      <c r="G183" t="s">
        <v>1</v>
      </c>
      <c r="H183" t="s">
        <v>2</v>
      </c>
      <c r="I183" t="s">
        <v>1027</v>
      </c>
      <c r="J183" s="1">
        <v>46174</v>
      </c>
      <c r="K183" t="s">
        <v>1028</v>
      </c>
    </row>
    <row r="184" spans="1:11" x14ac:dyDescent="0.45">
      <c r="A184" t="s">
        <v>194</v>
      </c>
      <c r="B184" t="s">
        <v>1029</v>
      </c>
      <c r="C184">
        <v>53</v>
      </c>
      <c r="D184">
        <v>0</v>
      </c>
      <c r="E184" t="s">
        <v>1025</v>
      </c>
      <c r="F184" t="s">
        <v>1031</v>
      </c>
      <c r="G184" t="s">
        <v>1</v>
      </c>
      <c r="H184" t="s">
        <v>2</v>
      </c>
      <c r="I184" t="s">
        <v>1027</v>
      </c>
      <c r="J184" s="1">
        <v>46174</v>
      </c>
      <c r="K184" t="s">
        <v>1028</v>
      </c>
    </row>
    <row r="185" spans="1:11" x14ac:dyDescent="0.45">
      <c r="A185" t="s">
        <v>195</v>
      </c>
      <c r="B185" t="s">
        <v>1030</v>
      </c>
      <c r="C185">
        <v>34</v>
      </c>
      <c r="D185">
        <v>1</v>
      </c>
      <c r="E185" t="s">
        <v>1025</v>
      </c>
      <c r="F185" t="s">
        <v>1033</v>
      </c>
      <c r="G185" t="s">
        <v>1</v>
      </c>
      <c r="H185" t="s">
        <v>2</v>
      </c>
      <c r="I185" t="s">
        <v>1027</v>
      </c>
      <c r="J185" s="1">
        <v>46174</v>
      </c>
      <c r="K185" t="s">
        <v>1028</v>
      </c>
    </row>
    <row r="186" spans="1:11" x14ac:dyDescent="0.45">
      <c r="A186" t="s">
        <v>196</v>
      </c>
      <c r="B186" t="s">
        <v>1030</v>
      </c>
      <c r="C186">
        <v>45</v>
      </c>
      <c r="D186">
        <v>4</v>
      </c>
      <c r="E186" t="s">
        <v>1025</v>
      </c>
      <c r="F186" t="s">
        <v>1032</v>
      </c>
      <c r="G186" t="s">
        <v>1</v>
      </c>
      <c r="H186" t="s">
        <v>2</v>
      </c>
      <c r="I186" t="s">
        <v>1027</v>
      </c>
      <c r="J186" s="1">
        <v>46174</v>
      </c>
      <c r="K186" t="s">
        <v>1028</v>
      </c>
    </row>
    <row r="187" spans="1:11" x14ac:dyDescent="0.45">
      <c r="A187" t="s">
        <v>197</v>
      </c>
      <c r="B187" t="s">
        <v>1024</v>
      </c>
      <c r="C187">
        <v>24</v>
      </c>
      <c r="D187">
        <v>0</v>
      </c>
      <c r="E187" t="s">
        <v>1025</v>
      </c>
      <c r="F187" t="s">
        <v>1031</v>
      </c>
      <c r="G187" t="s">
        <v>1</v>
      </c>
      <c r="H187" t="s">
        <v>2</v>
      </c>
      <c r="I187" t="s">
        <v>1027</v>
      </c>
      <c r="J187" s="1">
        <v>46174</v>
      </c>
      <c r="K187" t="s">
        <v>1028</v>
      </c>
    </row>
    <row r="188" spans="1:11" x14ac:dyDescent="0.45">
      <c r="A188" t="s">
        <v>198</v>
      </c>
      <c r="B188" t="s">
        <v>1030</v>
      </c>
      <c r="C188">
        <v>38</v>
      </c>
      <c r="D188">
        <v>0</v>
      </c>
      <c r="E188" t="s">
        <v>1025</v>
      </c>
      <c r="F188" t="s">
        <v>1026</v>
      </c>
      <c r="G188" t="s">
        <v>1</v>
      </c>
      <c r="H188" t="s">
        <v>2</v>
      </c>
      <c r="I188" t="s">
        <v>1027</v>
      </c>
      <c r="J188" s="1">
        <v>46174</v>
      </c>
      <c r="K188" t="s">
        <v>1028</v>
      </c>
    </row>
    <row r="189" spans="1:11" x14ac:dyDescent="0.45">
      <c r="A189" t="s">
        <v>199</v>
      </c>
      <c r="B189" t="s">
        <v>1029</v>
      </c>
      <c r="C189">
        <v>58</v>
      </c>
      <c r="D189">
        <v>3</v>
      </c>
      <c r="E189" t="s">
        <v>1025</v>
      </c>
      <c r="F189" t="s">
        <v>1032</v>
      </c>
      <c r="G189" t="s">
        <v>1</v>
      </c>
      <c r="H189" t="s">
        <v>2</v>
      </c>
      <c r="I189" t="s">
        <v>1027</v>
      </c>
      <c r="J189" s="1">
        <v>46174</v>
      </c>
      <c r="K189" t="s">
        <v>1028</v>
      </c>
    </row>
    <row r="190" spans="1:11" x14ac:dyDescent="0.45">
      <c r="A190" t="s">
        <v>200</v>
      </c>
      <c r="B190" t="s">
        <v>1030</v>
      </c>
      <c r="C190">
        <v>38</v>
      </c>
      <c r="D190">
        <v>3</v>
      </c>
      <c r="E190" t="s">
        <v>1025</v>
      </c>
      <c r="F190" t="s">
        <v>1026</v>
      </c>
      <c r="G190" t="s">
        <v>1</v>
      </c>
      <c r="H190" t="s">
        <v>2</v>
      </c>
      <c r="I190" t="s">
        <v>1027</v>
      </c>
      <c r="J190" s="1">
        <v>46174</v>
      </c>
      <c r="K190" t="s">
        <v>1028</v>
      </c>
    </row>
    <row r="191" spans="1:11" x14ac:dyDescent="0.45">
      <c r="A191" t="s">
        <v>201</v>
      </c>
      <c r="B191" t="s">
        <v>1030</v>
      </c>
      <c r="C191">
        <v>42</v>
      </c>
      <c r="D191">
        <v>1</v>
      </c>
      <c r="E191" t="s">
        <v>1025</v>
      </c>
      <c r="F191" t="s">
        <v>1026</v>
      </c>
      <c r="G191" t="s">
        <v>1</v>
      </c>
      <c r="H191" t="s">
        <v>2</v>
      </c>
      <c r="I191" t="s">
        <v>1027</v>
      </c>
      <c r="J191" s="1">
        <v>46174</v>
      </c>
      <c r="K191" t="s">
        <v>1028</v>
      </c>
    </row>
    <row r="192" spans="1:11" x14ac:dyDescent="0.45">
      <c r="A192" t="s">
        <v>202</v>
      </c>
      <c r="B192" t="s">
        <v>1030</v>
      </c>
      <c r="C192">
        <v>38</v>
      </c>
      <c r="D192">
        <v>0</v>
      </c>
      <c r="E192" t="s">
        <v>1025</v>
      </c>
      <c r="F192" t="s">
        <v>1031</v>
      </c>
      <c r="G192" t="s">
        <v>1</v>
      </c>
      <c r="H192" t="s">
        <v>2</v>
      </c>
      <c r="I192" t="s">
        <v>1027</v>
      </c>
      <c r="J192" s="1">
        <v>46174</v>
      </c>
      <c r="K192" t="s">
        <v>1028</v>
      </c>
    </row>
    <row r="193" spans="1:11" x14ac:dyDescent="0.45">
      <c r="A193" t="s">
        <v>203</v>
      </c>
      <c r="B193" t="s">
        <v>1024</v>
      </c>
      <c r="C193">
        <v>25</v>
      </c>
      <c r="D193">
        <v>0</v>
      </c>
      <c r="E193" t="s">
        <v>1025</v>
      </c>
      <c r="F193" t="s">
        <v>1033</v>
      </c>
      <c r="G193" t="s">
        <v>1</v>
      </c>
      <c r="H193" t="s">
        <v>2</v>
      </c>
      <c r="I193" t="s">
        <v>1027</v>
      </c>
      <c r="J193" s="1">
        <v>46174</v>
      </c>
      <c r="K193" t="s">
        <v>1028</v>
      </c>
    </row>
    <row r="194" spans="1:11" x14ac:dyDescent="0.45">
      <c r="A194" t="s">
        <v>204</v>
      </c>
      <c r="B194" t="s">
        <v>1030</v>
      </c>
      <c r="C194">
        <v>38</v>
      </c>
      <c r="D194">
        <v>4</v>
      </c>
      <c r="E194" t="s">
        <v>1025</v>
      </c>
      <c r="F194" t="s">
        <v>1026</v>
      </c>
      <c r="G194" t="s">
        <v>1</v>
      </c>
      <c r="H194" t="s">
        <v>2</v>
      </c>
      <c r="I194" t="s">
        <v>1027</v>
      </c>
      <c r="J194" s="1">
        <v>46174</v>
      </c>
      <c r="K194" t="s">
        <v>1028</v>
      </c>
    </row>
    <row r="195" spans="1:11" x14ac:dyDescent="0.45">
      <c r="A195" t="s">
        <v>205</v>
      </c>
      <c r="B195" t="s">
        <v>1030</v>
      </c>
      <c r="C195">
        <v>36</v>
      </c>
      <c r="D195">
        <v>0</v>
      </c>
      <c r="E195" t="s">
        <v>1025</v>
      </c>
      <c r="F195" t="s">
        <v>1031</v>
      </c>
      <c r="G195" t="s">
        <v>1</v>
      </c>
      <c r="H195" t="s">
        <v>2</v>
      </c>
      <c r="I195" t="s">
        <v>1027</v>
      </c>
      <c r="J195" s="1">
        <v>46174</v>
      </c>
      <c r="K195" t="s">
        <v>1028</v>
      </c>
    </row>
    <row r="196" spans="1:11" x14ac:dyDescent="0.45">
      <c r="A196" t="s">
        <v>206</v>
      </c>
      <c r="B196" t="s">
        <v>1029</v>
      </c>
      <c r="C196">
        <v>45</v>
      </c>
      <c r="D196">
        <v>1</v>
      </c>
      <c r="E196" t="s">
        <v>1025</v>
      </c>
      <c r="F196" t="s">
        <v>1031</v>
      </c>
      <c r="G196" t="s">
        <v>1</v>
      </c>
      <c r="H196" t="s">
        <v>2</v>
      </c>
      <c r="I196" t="s">
        <v>1027</v>
      </c>
      <c r="J196" s="1">
        <v>46175</v>
      </c>
      <c r="K196" t="s">
        <v>1037</v>
      </c>
    </row>
    <row r="197" spans="1:11" x14ac:dyDescent="0.45">
      <c r="A197" t="s">
        <v>207</v>
      </c>
      <c r="B197" t="s">
        <v>1030</v>
      </c>
      <c r="C197">
        <v>31</v>
      </c>
      <c r="D197">
        <v>18</v>
      </c>
      <c r="E197" t="s">
        <v>1034</v>
      </c>
      <c r="F197" t="s">
        <v>1032</v>
      </c>
      <c r="G197" t="s">
        <v>1035</v>
      </c>
      <c r="H197" t="s">
        <v>3</v>
      </c>
      <c r="I197" t="s">
        <v>1027</v>
      </c>
      <c r="J197" s="1">
        <v>46175</v>
      </c>
      <c r="K197" t="s">
        <v>1037</v>
      </c>
    </row>
    <row r="198" spans="1:11" x14ac:dyDescent="0.45">
      <c r="A198" t="s">
        <v>208</v>
      </c>
      <c r="B198" t="s">
        <v>1030</v>
      </c>
      <c r="C198">
        <v>40</v>
      </c>
      <c r="D198">
        <v>0</v>
      </c>
      <c r="E198" t="s">
        <v>1025</v>
      </c>
      <c r="F198" t="s">
        <v>1032</v>
      </c>
      <c r="G198" t="s">
        <v>1</v>
      </c>
      <c r="H198" t="s">
        <v>2</v>
      </c>
      <c r="I198" t="s">
        <v>1027</v>
      </c>
      <c r="J198" s="1">
        <v>46175</v>
      </c>
      <c r="K198" t="s">
        <v>1037</v>
      </c>
    </row>
    <row r="199" spans="1:11" x14ac:dyDescent="0.45">
      <c r="A199" t="s">
        <v>209</v>
      </c>
      <c r="B199" t="s">
        <v>1029</v>
      </c>
      <c r="C199">
        <v>50</v>
      </c>
      <c r="D199">
        <v>2</v>
      </c>
      <c r="E199" t="s">
        <v>1025</v>
      </c>
      <c r="F199" t="s">
        <v>1033</v>
      </c>
      <c r="G199" t="s">
        <v>1</v>
      </c>
      <c r="H199" t="s">
        <v>2</v>
      </c>
      <c r="I199" t="s">
        <v>1027</v>
      </c>
      <c r="J199" s="1">
        <v>46175</v>
      </c>
      <c r="K199" t="s">
        <v>1037</v>
      </c>
    </row>
    <row r="200" spans="1:11" x14ac:dyDescent="0.45">
      <c r="A200" t="s">
        <v>210</v>
      </c>
      <c r="B200" t="s">
        <v>1029</v>
      </c>
      <c r="C200">
        <v>65</v>
      </c>
      <c r="D200">
        <v>0</v>
      </c>
      <c r="E200" t="s">
        <v>1025</v>
      </c>
      <c r="F200" t="s">
        <v>1033</v>
      </c>
      <c r="G200" t="s">
        <v>1</v>
      </c>
      <c r="H200" t="s">
        <v>2</v>
      </c>
      <c r="I200" t="s">
        <v>1027</v>
      </c>
      <c r="J200" s="1">
        <v>46175</v>
      </c>
      <c r="K200" t="s">
        <v>1037</v>
      </c>
    </row>
    <row r="201" spans="1:11" x14ac:dyDescent="0.45">
      <c r="A201" t="s">
        <v>211</v>
      </c>
      <c r="B201" t="s">
        <v>1029</v>
      </c>
      <c r="C201">
        <v>49</v>
      </c>
      <c r="D201">
        <v>0</v>
      </c>
      <c r="E201" t="s">
        <v>1025</v>
      </c>
      <c r="F201" t="s">
        <v>1032</v>
      </c>
      <c r="G201" t="s">
        <v>1</v>
      </c>
      <c r="H201" t="s">
        <v>2</v>
      </c>
      <c r="I201" t="s">
        <v>1027</v>
      </c>
      <c r="J201" s="1">
        <v>46175</v>
      </c>
      <c r="K201" t="s">
        <v>1037</v>
      </c>
    </row>
    <row r="202" spans="1:11" x14ac:dyDescent="0.45">
      <c r="A202" t="s">
        <v>212</v>
      </c>
      <c r="B202" t="s">
        <v>1024</v>
      </c>
      <c r="C202">
        <v>17</v>
      </c>
      <c r="D202">
        <v>1</v>
      </c>
      <c r="E202" t="s">
        <v>1025</v>
      </c>
      <c r="F202" t="s">
        <v>1033</v>
      </c>
      <c r="G202" t="s">
        <v>1</v>
      </c>
      <c r="H202" t="s">
        <v>2</v>
      </c>
      <c r="I202" t="s">
        <v>1027</v>
      </c>
      <c r="J202" s="1">
        <v>46175</v>
      </c>
      <c r="K202" t="s">
        <v>1037</v>
      </c>
    </row>
    <row r="203" spans="1:11" x14ac:dyDescent="0.45">
      <c r="A203" t="s">
        <v>213</v>
      </c>
      <c r="B203" t="s">
        <v>1030</v>
      </c>
      <c r="C203">
        <v>46</v>
      </c>
      <c r="D203">
        <v>1</v>
      </c>
      <c r="E203" t="s">
        <v>1025</v>
      </c>
      <c r="F203" t="s">
        <v>1033</v>
      </c>
      <c r="G203" t="s">
        <v>1</v>
      </c>
      <c r="H203" t="s">
        <v>2</v>
      </c>
      <c r="I203" t="s">
        <v>1027</v>
      </c>
      <c r="J203" s="1">
        <v>46175</v>
      </c>
      <c r="K203" t="s">
        <v>1037</v>
      </c>
    </row>
    <row r="204" spans="1:11" x14ac:dyDescent="0.45">
      <c r="A204" t="s">
        <v>214</v>
      </c>
      <c r="B204" t="s">
        <v>1030</v>
      </c>
      <c r="C204">
        <v>45</v>
      </c>
      <c r="D204">
        <v>0</v>
      </c>
      <c r="E204" t="s">
        <v>1025</v>
      </c>
      <c r="F204" t="s">
        <v>1026</v>
      </c>
      <c r="G204" t="s">
        <v>1</v>
      </c>
      <c r="H204" t="s">
        <v>2</v>
      </c>
      <c r="I204" t="s">
        <v>1027</v>
      </c>
      <c r="J204" s="1">
        <v>46175</v>
      </c>
      <c r="K204" t="s">
        <v>1037</v>
      </c>
    </row>
    <row r="205" spans="1:11" x14ac:dyDescent="0.45">
      <c r="A205" t="s">
        <v>215</v>
      </c>
      <c r="B205" t="s">
        <v>1024</v>
      </c>
      <c r="C205">
        <v>16</v>
      </c>
      <c r="D205">
        <v>2</v>
      </c>
      <c r="E205" t="s">
        <v>1025</v>
      </c>
      <c r="F205" t="s">
        <v>1032</v>
      </c>
      <c r="G205" t="s">
        <v>1</v>
      </c>
      <c r="H205" t="s">
        <v>2</v>
      </c>
      <c r="I205" t="s">
        <v>1027</v>
      </c>
      <c r="J205" s="1">
        <v>46175</v>
      </c>
      <c r="K205" t="s">
        <v>1037</v>
      </c>
    </row>
    <row r="206" spans="1:11" x14ac:dyDescent="0.45">
      <c r="A206" t="s">
        <v>216</v>
      </c>
      <c r="B206" t="s">
        <v>1030</v>
      </c>
      <c r="C206">
        <v>38</v>
      </c>
      <c r="D206">
        <v>5</v>
      </c>
      <c r="E206" t="s">
        <v>1025</v>
      </c>
      <c r="F206" t="s">
        <v>1026</v>
      </c>
      <c r="G206" t="s">
        <v>1</v>
      </c>
      <c r="H206" t="s">
        <v>2</v>
      </c>
      <c r="I206" t="s">
        <v>1027</v>
      </c>
      <c r="J206" s="1">
        <v>46175</v>
      </c>
      <c r="K206" t="s">
        <v>1037</v>
      </c>
    </row>
    <row r="207" spans="1:11" x14ac:dyDescent="0.45">
      <c r="A207" t="s">
        <v>217</v>
      </c>
      <c r="B207" t="s">
        <v>1029</v>
      </c>
      <c r="C207">
        <v>63</v>
      </c>
      <c r="D207">
        <v>3</v>
      </c>
      <c r="E207" t="s">
        <v>1025</v>
      </c>
      <c r="F207" t="s">
        <v>1026</v>
      </c>
      <c r="G207" t="s">
        <v>1</v>
      </c>
      <c r="H207" t="s">
        <v>2</v>
      </c>
      <c r="I207" t="s">
        <v>1027</v>
      </c>
      <c r="J207" s="1">
        <v>46175</v>
      </c>
      <c r="K207" t="s">
        <v>1037</v>
      </c>
    </row>
    <row r="208" spans="1:11" x14ac:dyDescent="0.45">
      <c r="A208" t="s">
        <v>218</v>
      </c>
      <c r="B208" t="s">
        <v>1030</v>
      </c>
      <c r="C208">
        <v>35</v>
      </c>
      <c r="D208">
        <v>0</v>
      </c>
      <c r="E208" t="s">
        <v>1025</v>
      </c>
      <c r="F208" t="s">
        <v>1032</v>
      </c>
      <c r="G208" t="s">
        <v>1</v>
      </c>
      <c r="H208" t="s">
        <v>2</v>
      </c>
      <c r="I208" t="s">
        <v>1027</v>
      </c>
      <c r="J208" s="1">
        <v>46175</v>
      </c>
      <c r="K208" t="s">
        <v>1037</v>
      </c>
    </row>
    <row r="209" spans="1:11" x14ac:dyDescent="0.45">
      <c r="A209" t="s">
        <v>219</v>
      </c>
      <c r="B209" t="s">
        <v>1024</v>
      </c>
      <c r="C209">
        <v>22</v>
      </c>
      <c r="D209">
        <v>4</v>
      </c>
      <c r="E209" t="s">
        <v>1025</v>
      </c>
      <c r="F209" t="s">
        <v>1026</v>
      </c>
      <c r="G209" t="s">
        <v>1</v>
      </c>
      <c r="H209" t="s">
        <v>2</v>
      </c>
      <c r="I209" t="s">
        <v>1027</v>
      </c>
      <c r="J209" s="1">
        <v>46175</v>
      </c>
      <c r="K209" t="s">
        <v>1037</v>
      </c>
    </row>
    <row r="210" spans="1:11" x14ac:dyDescent="0.45">
      <c r="A210" t="s">
        <v>220</v>
      </c>
      <c r="B210" t="s">
        <v>1030</v>
      </c>
      <c r="C210">
        <v>32</v>
      </c>
      <c r="D210">
        <v>1</v>
      </c>
      <c r="E210" t="s">
        <v>1025</v>
      </c>
      <c r="F210" t="s">
        <v>1031</v>
      </c>
      <c r="G210" t="s">
        <v>1</v>
      </c>
      <c r="H210" t="s">
        <v>2</v>
      </c>
      <c r="I210" t="s">
        <v>1027</v>
      </c>
      <c r="J210" s="1">
        <v>46175</v>
      </c>
      <c r="K210" t="s">
        <v>1037</v>
      </c>
    </row>
    <row r="211" spans="1:11" x14ac:dyDescent="0.45">
      <c r="A211" t="s">
        <v>221</v>
      </c>
      <c r="B211" t="s">
        <v>1030</v>
      </c>
      <c r="C211">
        <v>38</v>
      </c>
      <c r="D211">
        <v>22</v>
      </c>
      <c r="E211" t="s">
        <v>1034</v>
      </c>
      <c r="F211" t="s">
        <v>1032</v>
      </c>
      <c r="G211" t="s">
        <v>1035</v>
      </c>
      <c r="H211" t="s">
        <v>3</v>
      </c>
      <c r="I211" t="s">
        <v>1027</v>
      </c>
      <c r="J211" s="1">
        <v>46175</v>
      </c>
      <c r="K211" t="s">
        <v>1037</v>
      </c>
    </row>
    <row r="212" spans="1:11" x14ac:dyDescent="0.45">
      <c r="A212" t="s">
        <v>222</v>
      </c>
      <c r="B212" t="s">
        <v>1029</v>
      </c>
      <c r="C212">
        <v>62</v>
      </c>
      <c r="D212">
        <v>14</v>
      </c>
      <c r="E212" t="s">
        <v>1036</v>
      </c>
      <c r="F212" t="s">
        <v>1032</v>
      </c>
      <c r="G212" t="s">
        <v>1035</v>
      </c>
      <c r="H212" t="s">
        <v>3</v>
      </c>
      <c r="I212" t="s">
        <v>1027</v>
      </c>
      <c r="J212" s="1">
        <v>46175</v>
      </c>
      <c r="K212" t="s">
        <v>1037</v>
      </c>
    </row>
    <row r="213" spans="1:11" x14ac:dyDescent="0.45">
      <c r="A213" t="s">
        <v>223</v>
      </c>
      <c r="B213" t="s">
        <v>1029</v>
      </c>
      <c r="C213">
        <v>56</v>
      </c>
      <c r="D213">
        <v>0</v>
      </c>
      <c r="E213" t="s">
        <v>1025</v>
      </c>
      <c r="F213" t="s">
        <v>1031</v>
      </c>
      <c r="G213" t="s">
        <v>1</v>
      </c>
      <c r="H213" t="s">
        <v>2</v>
      </c>
      <c r="I213" t="s">
        <v>1027</v>
      </c>
      <c r="J213" s="1">
        <v>46175</v>
      </c>
      <c r="K213" t="s">
        <v>1037</v>
      </c>
    </row>
    <row r="214" spans="1:11" x14ac:dyDescent="0.45">
      <c r="A214" t="s">
        <v>224</v>
      </c>
      <c r="B214" t="s">
        <v>1029</v>
      </c>
      <c r="C214">
        <v>64</v>
      </c>
      <c r="D214">
        <v>0</v>
      </c>
      <c r="E214" t="s">
        <v>1025</v>
      </c>
      <c r="F214" t="s">
        <v>1032</v>
      </c>
      <c r="G214" t="s">
        <v>1</v>
      </c>
      <c r="H214" t="s">
        <v>2</v>
      </c>
      <c r="I214" t="s">
        <v>1027</v>
      </c>
      <c r="J214" s="1">
        <v>46175</v>
      </c>
      <c r="K214" t="s">
        <v>1037</v>
      </c>
    </row>
    <row r="215" spans="1:11" x14ac:dyDescent="0.45">
      <c r="A215" t="s">
        <v>225</v>
      </c>
      <c r="B215" t="s">
        <v>1024</v>
      </c>
      <c r="C215">
        <v>17</v>
      </c>
      <c r="D215">
        <v>3</v>
      </c>
      <c r="E215" t="s">
        <v>1025</v>
      </c>
      <c r="F215" t="s">
        <v>1033</v>
      </c>
      <c r="G215" t="s">
        <v>1</v>
      </c>
      <c r="H215" t="s">
        <v>2</v>
      </c>
      <c r="I215" t="s">
        <v>1027</v>
      </c>
      <c r="J215" s="1">
        <v>46175</v>
      </c>
      <c r="K215" t="s">
        <v>1037</v>
      </c>
    </row>
    <row r="216" spans="1:11" x14ac:dyDescent="0.45">
      <c r="A216" t="s">
        <v>226</v>
      </c>
      <c r="B216" t="s">
        <v>1029</v>
      </c>
      <c r="C216">
        <v>59</v>
      </c>
      <c r="D216">
        <v>0</v>
      </c>
      <c r="E216" t="s">
        <v>1025</v>
      </c>
      <c r="F216" t="s">
        <v>1033</v>
      </c>
      <c r="G216" t="s">
        <v>1</v>
      </c>
      <c r="H216" t="s">
        <v>2</v>
      </c>
      <c r="I216" t="s">
        <v>1027</v>
      </c>
      <c r="J216" s="1">
        <v>46175</v>
      </c>
      <c r="K216" t="s">
        <v>1037</v>
      </c>
    </row>
    <row r="217" spans="1:11" x14ac:dyDescent="0.45">
      <c r="A217" t="s">
        <v>227</v>
      </c>
      <c r="B217" t="s">
        <v>1029</v>
      </c>
      <c r="C217">
        <v>47</v>
      </c>
      <c r="D217">
        <v>2</v>
      </c>
      <c r="E217" t="s">
        <v>1025</v>
      </c>
      <c r="F217" t="s">
        <v>1033</v>
      </c>
      <c r="G217" t="s">
        <v>1</v>
      </c>
      <c r="H217" t="s">
        <v>2</v>
      </c>
      <c r="I217" t="s">
        <v>1027</v>
      </c>
      <c r="J217" s="1">
        <v>46175</v>
      </c>
      <c r="K217" t="s">
        <v>1037</v>
      </c>
    </row>
    <row r="218" spans="1:11" x14ac:dyDescent="0.45">
      <c r="A218" t="s">
        <v>228</v>
      </c>
      <c r="B218" t="s">
        <v>1029</v>
      </c>
      <c r="C218">
        <v>52</v>
      </c>
      <c r="D218">
        <v>1</v>
      </c>
      <c r="E218" t="s">
        <v>1025</v>
      </c>
      <c r="F218" t="s">
        <v>1033</v>
      </c>
      <c r="G218" t="s">
        <v>1</v>
      </c>
      <c r="H218" t="s">
        <v>2</v>
      </c>
      <c r="I218" t="s">
        <v>1027</v>
      </c>
      <c r="J218" s="1">
        <v>46175</v>
      </c>
      <c r="K218" t="s">
        <v>1037</v>
      </c>
    </row>
    <row r="219" spans="1:11" x14ac:dyDescent="0.45">
      <c r="A219" t="s">
        <v>229</v>
      </c>
      <c r="B219" t="s">
        <v>1030</v>
      </c>
      <c r="C219">
        <v>45</v>
      </c>
      <c r="D219">
        <v>1</v>
      </c>
      <c r="E219" t="s">
        <v>1025</v>
      </c>
      <c r="F219" t="s">
        <v>1032</v>
      </c>
      <c r="G219" t="s">
        <v>1</v>
      </c>
      <c r="H219" t="s">
        <v>2</v>
      </c>
      <c r="I219" t="s">
        <v>1027</v>
      </c>
      <c r="J219" s="1">
        <v>46175</v>
      </c>
      <c r="K219" t="s">
        <v>1037</v>
      </c>
    </row>
    <row r="220" spans="1:11" x14ac:dyDescent="0.45">
      <c r="A220" t="s">
        <v>230</v>
      </c>
      <c r="B220" t="s">
        <v>1029</v>
      </c>
      <c r="C220">
        <v>48</v>
      </c>
      <c r="D220">
        <v>2</v>
      </c>
      <c r="E220" t="s">
        <v>1025</v>
      </c>
      <c r="F220" t="s">
        <v>1031</v>
      </c>
      <c r="G220" t="s">
        <v>1</v>
      </c>
      <c r="H220" t="s">
        <v>2</v>
      </c>
      <c r="I220" t="s">
        <v>1027</v>
      </c>
      <c r="J220" s="1">
        <v>46175</v>
      </c>
      <c r="K220" t="s">
        <v>1037</v>
      </c>
    </row>
    <row r="221" spans="1:11" x14ac:dyDescent="0.45">
      <c r="A221" t="s">
        <v>231</v>
      </c>
      <c r="B221" t="s">
        <v>1030</v>
      </c>
      <c r="C221">
        <v>34</v>
      </c>
      <c r="D221">
        <v>2</v>
      </c>
      <c r="E221" t="s">
        <v>1025</v>
      </c>
      <c r="F221" t="s">
        <v>1032</v>
      </c>
      <c r="G221" t="s">
        <v>1</v>
      </c>
      <c r="H221" t="s">
        <v>2</v>
      </c>
      <c r="I221" t="s">
        <v>1027</v>
      </c>
      <c r="J221" s="1">
        <v>46175</v>
      </c>
      <c r="K221" t="s">
        <v>1037</v>
      </c>
    </row>
    <row r="222" spans="1:11" x14ac:dyDescent="0.45">
      <c r="A222" t="s">
        <v>232</v>
      </c>
      <c r="B222" t="s">
        <v>1024</v>
      </c>
      <c r="C222">
        <v>12</v>
      </c>
      <c r="D222">
        <v>0</v>
      </c>
      <c r="E222" t="s">
        <v>1025</v>
      </c>
      <c r="F222" t="s">
        <v>1026</v>
      </c>
      <c r="G222" t="s">
        <v>1</v>
      </c>
      <c r="H222" t="s">
        <v>2</v>
      </c>
      <c r="I222" t="s">
        <v>1027</v>
      </c>
      <c r="J222" s="1">
        <v>46175</v>
      </c>
      <c r="K222" t="s">
        <v>1037</v>
      </c>
    </row>
    <row r="223" spans="1:11" x14ac:dyDescent="0.45">
      <c r="A223" t="s">
        <v>233</v>
      </c>
      <c r="B223" t="s">
        <v>1029</v>
      </c>
      <c r="C223">
        <v>55</v>
      </c>
      <c r="D223">
        <v>22</v>
      </c>
      <c r="E223" t="s">
        <v>1034</v>
      </c>
      <c r="F223" t="s">
        <v>1032</v>
      </c>
      <c r="G223" t="s">
        <v>1035</v>
      </c>
      <c r="H223" t="s">
        <v>3</v>
      </c>
      <c r="I223" t="s">
        <v>1027</v>
      </c>
      <c r="J223" s="1">
        <v>46175</v>
      </c>
      <c r="K223" t="s">
        <v>1037</v>
      </c>
    </row>
    <row r="224" spans="1:11" x14ac:dyDescent="0.45">
      <c r="A224" t="s">
        <v>234</v>
      </c>
      <c r="B224" t="s">
        <v>1024</v>
      </c>
      <c r="C224">
        <v>10</v>
      </c>
      <c r="D224">
        <v>3</v>
      </c>
      <c r="E224" t="s">
        <v>1025</v>
      </c>
      <c r="F224" t="s">
        <v>1033</v>
      </c>
      <c r="G224" t="s">
        <v>1</v>
      </c>
      <c r="H224" t="s">
        <v>2</v>
      </c>
      <c r="I224" t="s">
        <v>1027</v>
      </c>
      <c r="J224" s="1">
        <v>46175</v>
      </c>
      <c r="K224" t="s">
        <v>1037</v>
      </c>
    </row>
    <row r="225" spans="1:11" x14ac:dyDescent="0.45">
      <c r="A225" t="s">
        <v>235</v>
      </c>
      <c r="B225" t="s">
        <v>1030</v>
      </c>
      <c r="C225">
        <v>43</v>
      </c>
      <c r="D225">
        <v>1</v>
      </c>
      <c r="E225" t="s">
        <v>1025</v>
      </c>
      <c r="F225" t="s">
        <v>1026</v>
      </c>
      <c r="G225" t="s">
        <v>1</v>
      </c>
      <c r="H225" t="s">
        <v>2</v>
      </c>
      <c r="I225" t="s">
        <v>1027</v>
      </c>
      <c r="J225" s="1">
        <v>46175</v>
      </c>
      <c r="K225" t="s">
        <v>1037</v>
      </c>
    </row>
    <row r="226" spans="1:11" x14ac:dyDescent="0.45">
      <c r="A226" t="s">
        <v>236</v>
      </c>
      <c r="B226" t="s">
        <v>1030</v>
      </c>
      <c r="C226">
        <v>39</v>
      </c>
      <c r="D226">
        <v>0</v>
      </c>
      <c r="E226" t="s">
        <v>1025</v>
      </c>
      <c r="F226" t="s">
        <v>1031</v>
      </c>
      <c r="G226" t="s">
        <v>1</v>
      </c>
      <c r="H226" t="s">
        <v>2</v>
      </c>
      <c r="I226" t="s">
        <v>1027</v>
      </c>
      <c r="J226" s="1">
        <v>46175</v>
      </c>
      <c r="K226" t="s">
        <v>1037</v>
      </c>
    </row>
    <row r="227" spans="1:11" x14ac:dyDescent="0.45">
      <c r="A227" t="s">
        <v>237</v>
      </c>
      <c r="B227" t="s">
        <v>1024</v>
      </c>
      <c r="C227">
        <v>17</v>
      </c>
      <c r="D227">
        <v>3</v>
      </c>
      <c r="E227" t="s">
        <v>1025</v>
      </c>
      <c r="F227" t="s">
        <v>1033</v>
      </c>
      <c r="G227" t="s">
        <v>1</v>
      </c>
      <c r="H227" t="s">
        <v>2</v>
      </c>
      <c r="I227" t="s">
        <v>1027</v>
      </c>
      <c r="J227" s="1">
        <v>46175</v>
      </c>
      <c r="K227" t="s">
        <v>1037</v>
      </c>
    </row>
    <row r="228" spans="1:11" x14ac:dyDescent="0.45">
      <c r="A228" t="s">
        <v>238</v>
      </c>
      <c r="B228" t="s">
        <v>1029</v>
      </c>
      <c r="C228">
        <v>58</v>
      </c>
      <c r="D228">
        <v>0</v>
      </c>
      <c r="E228" t="s">
        <v>1025</v>
      </c>
      <c r="F228" t="s">
        <v>1026</v>
      </c>
      <c r="G228" t="s">
        <v>1</v>
      </c>
      <c r="H228" t="s">
        <v>2</v>
      </c>
      <c r="I228" t="s">
        <v>1027</v>
      </c>
      <c r="J228" s="1">
        <v>46175</v>
      </c>
      <c r="K228" t="s">
        <v>1037</v>
      </c>
    </row>
    <row r="229" spans="1:11" x14ac:dyDescent="0.45">
      <c r="A229" t="s">
        <v>239</v>
      </c>
      <c r="B229" t="s">
        <v>1029</v>
      </c>
      <c r="C229">
        <v>53</v>
      </c>
      <c r="D229">
        <v>0</v>
      </c>
      <c r="E229" t="s">
        <v>1025</v>
      </c>
      <c r="F229" t="s">
        <v>1031</v>
      </c>
      <c r="G229" t="s">
        <v>1</v>
      </c>
      <c r="H229" t="s">
        <v>2</v>
      </c>
      <c r="I229" t="s">
        <v>1027</v>
      </c>
      <c r="J229" s="1">
        <v>46175</v>
      </c>
      <c r="K229" t="s">
        <v>1037</v>
      </c>
    </row>
    <row r="230" spans="1:11" x14ac:dyDescent="0.45">
      <c r="A230" t="s">
        <v>240</v>
      </c>
      <c r="B230" t="s">
        <v>1030</v>
      </c>
      <c r="C230">
        <v>47</v>
      </c>
      <c r="D230">
        <v>3</v>
      </c>
      <c r="E230" t="s">
        <v>1025</v>
      </c>
      <c r="F230" t="s">
        <v>1032</v>
      </c>
      <c r="G230" t="s">
        <v>1</v>
      </c>
      <c r="H230" t="s">
        <v>2</v>
      </c>
      <c r="I230" t="s">
        <v>1027</v>
      </c>
      <c r="J230" s="1">
        <v>46175</v>
      </c>
      <c r="K230" t="s">
        <v>1037</v>
      </c>
    </row>
    <row r="231" spans="1:11" x14ac:dyDescent="0.45">
      <c r="A231" t="s">
        <v>241</v>
      </c>
      <c r="B231" t="s">
        <v>1024</v>
      </c>
      <c r="C231">
        <v>25</v>
      </c>
      <c r="D231">
        <v>1</v>
      </c>
      <c r="E231" t="s">
        <v>1025</v>
      </c>
      <c r="F231" t="s">
        <v>1026</v>
      </c>
      <c r="G231" t="s">
        <v>1</v>
      </c>
      <c r="H231" t="s">
        <v>2</v>
      </c>
      <c r="I231" t="s">
        <v>1027</v>
      </c>
      <c r="J231" s="1">
        <v>46175</v>
      </c>
      <c r="K231" t="s">
        <v>1037</v>
      </c>
    </row>
    <row r="232" spans="1:11" x14ac:dyDescent="0.45">
      <c r="A232" t="s">
        <v>242</v>
      </c>
      <c r="B232" t="s">
        <v>1030</v>
      </c>
      <c r="C232">
        <v>46</v>
      </c>
      <c r="D232">
        <v>4</v>
      </c>
      <c r="E232" t="s">
        <v>1025</v>
      </c>
      <c r="F232" t="s">
        <v>1026</v>
      </c>
      <c r="G232" t="s">
        <v>1</v>
      </c>
      <c r="H232" t="s">
        <v>2</v>
      </c>
      <c r="I232" t="s">
        <v>1027</v>
      </c>
      <c r="J232" s="1">
        <v>46175</v>
      </c>
      <c r="K232" t="s">
        <v>1037</v>
      </c>
    </row>
    <row r="233" spans="1:11" x14ac:dyDescent="0.45">
      <c r="A233" t="s">
        <v>243</v>
      </c>
      <c r="B233" t="s">
        <v>1029</v>
      </c>
      <c r="C233">
        <v>60</v>
      </c>
      <c r="D233">
        <v>0</v>
      </c>
      <c r="E233" t="s">
        <v>1025</v>
      </c>
      <c r="F233" t="s">
        <v>1026</v>
      </c>
      <c r="G233" t="s">
        <v>1</v>
      </c>
      <c r="H233" t="s">
        <v>2</v>
      </c>
      <c r="I233" t="s">
        <v>1027</v>
      </c>
      <c r="J233" s="1">
        <v>46175</v>
      </c>
      <c r="K233" t="s">
        <v>1037</v>
      </c>
    </row>
    <row r="234" spans="1:11" x14ac:dyDescent="0.45">
      <c r="A234" t="s">
        <v>244</v>
      </c>
      <c r="B234" t="s">
        <v>1024</v>
      </c>
      <c r="C234">
        <v>21</v>
      </c>
      <c r="D234">
        <v>4</v>
      </c>
      <c r="E234" t="s">
        <v>1025</v>
      </c>
      <c r="F234" t="s">
        <v>1026</v>
      </c>
      <c r="G234" t="s">
        <v>1</v>
      </c>
      <c r="H234" t="s">
        <v>2</v>
      </c>
      <c r="I234" t="s">
        <v>1027</v>
      </c>
      <c r="J234" s="1">
        <v>46175</v>
      </c>
      <c r="K234" t="s">
        <v>1037</v>
      </c>
    </row>
    <row r="235" spans="1:11" x14ac:dyDescent="0.45">
      <c r="A235" t="s">
        <v>245</v>
      </c>
      <c r="B235" t="s">
        <v>1024</v>
      </c>
      <c r="C235">
        <v>11</v>
      </c>
      <c r="D235">
        <v>1</v>
      </c>
      <c r="E235" t="s">
        <v>1025</v>
      </c>
      <c r="F235" t="s">
        <v>1032</v>
      </c>
      <c r="G235" t="s">
        <v>1</v>
      </c>
      <c r="H235" t="s">
        <v>2</v>
      </c>
      <c r="I235" t="s">
        <v>1027</v>
      </c>
      <c r="J235" s="1">
        <v>46175</v>
      </c>
      <c r="K235" t="s">
        <v>1037</v>
      </c>
    </row>
    <row r="236" spans="1:11" x14ac:dyDescent="0.45">
      <c r="A236" t="s">
        <v>246</v>
      </c>
      <c r="B236" t="s">
        <v>1030</v>
      </c>
      <c r="C236">
        <v>40</v>
      </c>
      <c r="D236">
        <v>1</v>
      </c>
      <c r="E236" t="s">
        <v>1025</v>
      </c>
      <c r="F236" t="s">
        <v>1033</v>
      </c>
      <c r="G236" t="s">
        <v>1</v>
      </c>
      <c r="H236" t="s">
        <v>2</v>
      </c>
      <c r="I236" t="s">
        <v>1027</v>
      </c>
      <c r="J236" s="1">
        <v>46175</v>
      </c>
      <c r="K236" t="s">
        <v>1037</v>
      </c>
    </row>
    <row r="237" spans="1:11" x14ac:dyDescent="0.45">
      <c r="A237" t="s">
        <v>247</v>
      </c>
      <c r="B237" t="s">
        <v>1029</v>
      </c>
      <c r="C237">
        <v>53</v>
      </c>
      <c r="D237">
        <v>23</v>
      </c>
      <c r="E237" t="s">
        <v>1034</v>
      </c>
      <c r="F237" t="s">
        <v>1032</v>
      </c>
      <c r="G237" t="s">
        <v>1035</v>
      </c>
      <c r="H237" t="s">
        <v>3</v>
      </c>
      <c r="I237" t="s">
        <v>1027</v>
      </c>
      <c r="J237" s="1">
        <v>46175</v>
      </c>
      <c r="K237" t="s">
        <v>1037</v>
      </c>
    </row>
    <row r="238" spans="1:11" x14ac:dyDescent="0.45">
      <c r="A238" t="s">
        <v>248</v>
      </c>
      <c r="B238" t="s">
        <v>1030</v>
      </c>
      <c r="C238">
        <v>40</v>
      </c>
      <c r="D238">
        <v>0</v>
      </c>
      <c r="E238" t="s">
        <v>1025</v>
      </c>
      <c r="F238" t="s">
        <v>1031</v>
      </c>
      <c r="G238" t="s">
        <v>1</v>
      </c>
      <c r="H238" t="s">
        <v>2</v>
      </c>
      <c r="I238" t="s">
        <v>1027</v>
      </c>
      <c r="J238" s="1">
        <v>46175</v>
      </c>
      <c r="K238" t="s">
        <v>1037</v>
      </c>
    </row>
    <row r="239" spans="1:11" x14ac:dyDescent="0.45">
      <c r="A239" t="s">
        <v>249</v>
      </c>
      <c r="B239" t="s">
        <v>1030</v>
      </c>
      <c r="C239">
        <v>37</v>
      </c>
      <c r="D239">
        <v>2</v>
      </c>
      <c r="E239" t="s">
        <v>1025</v>
      </c>
      <c r="F239" t="s">
        <v>1026</v>
      </c>
      <c r="G239" t="s">
        <v>1</v>
      </c>
      <c r="H239" t="s">
        <v>2</v>
      </c>
      <c r="I239" t="s">
        <v>1027</v>
      </c>
      <c r="J239" s="1">
        <v>46175</v>
      </c>
      <c r="K239" t="s">
        <v>1037</v>
      </c>
    </row>
    <row r="240" spans="1:11" x14ac:dyDescent="0.45">
      <c r="A240" t="s">
        <v>250</v>
      </c>
      <c r="B240" t="s">
        <v>1029</v>
      </c>
      <c r="C240">
        <v>53</v>
      </c>
      <c r="D240">
        <v>2</v>
      </c>
      <c r="E240" t="s">
        <v>1025</v>
      </c>
      <c r="F240" t="s">
        <v>1031</v>
      </c>
      <c r="G240" t="s">
        <v>1</v>
      </c>
      <c r="H240" t="s">
        <v>2</v>
      </c>
      <c r="I240" t="s">
        <v>1027</v>
      </c>
      <c r="J240" s="1">
        <v>46175</v>
      </c>
      <c r="K240" t="s">
        <v>1037</v>
      </c>
    </row>
    <row r="241" spans="1:11" x14ac:dyDescent="0.45">
      <c r="A241" t="s">
        <v>251</v>
      </c>
      <c r="B241" t="s">
        <v>1030</v>
      </c>
      <c r="C241">
        <v>41</v>
      </c>
      <c r="D241">
        <v>2</v>
      </c>
      <c r="E241" t="s">
        <v>1025</v>
      </c>
      <c r="F241" t="s">
        <v>1031</v>
      </c>
      <c r="G241" t="s">
        <v>1</v>
      </c>
      <c r="H241" t="s">
        <v>2</v>
      </c>
      <c r="I241" t="s">
        <v>1027</v>
      </c>
      <c r="J241" s="1">
        <v>46175</v>
      </c>
      <c r="K241" t="s">
        <v>1037</v>
      </c>
    </row>
    <row r="242" spans="1:11" x14ac:dyDescent="0.45">
      <c r="A242" t="s">
        <v>252</v>
      </c>
      <c r="B242" t="s">
        <v>1030</v>
      </c>
      <c r="C242">
        <v>47</v>
      </c>
      <c r="D242">
        <v>1</v>
      </c>
      <c r="E242" t="s">
        <v>1025</v>
      </c>
      <c r="F242" t="s">
        <v>1031</v>
      </c>
      <c r="G242" t="s">
        <v>1</v>
      </c>
      <c r="H242" t="s">
        <v>2</v>
      </c>
      <c r="I242" t="s">
        <v>1027</v>
      </c>
      <c r="J242" s="1">
        <v>46175</v>
      </c>
      <c r="K242" t="s">
        <v>1037</v>
      </c>
    </row>
    <row r="243" spans="1:11" x14ac:dyDescent="0.45">
      <c r="A243" t="s">
        <v>253</v>
      </c>
      <c r="B243" t="s">
        <v>1030</v>
      </c>
      <c r="C243">
        <v>34</v>
      </c>
      <c r="D243">
        <v>1</v>
      </c>
      <c r="E243" t="s">
        <v>1025</v>
      </c>
      <c r="F243" t="s">
        <v>1026</v>
      </c>
      <c r="G243" t="s">
        <v>1</v>
      </c>
      <c r="H243" t="s">
        <v>2</v>
      </c>
      <c r="I243" t="s">
        <v>1027</v>
      </c>
      <c r="J243" s="1">
        <v>46175</v>
      </c>
      <c r="K243" t="s">
        <v>1037</v>
      </c>
    </row>
    <row r="244" spans="1:11" x14ac:dyDescent="0.45">
      <c r="A244" t="s">
        <v>254</v>
      </c>
      <c r="B244" t="s">
        <v>1024</v>
      </c>
      <c r="C244">
        <v>10</v>
      </c>
      <c r="D244">
        <v>0</v>
      </c>
      <c r="E244" t="s">
        <v>1025</v>
      </c>
      <c r="F244" t="s">
        <v>1033</v>
      </c>
      <c r="G244" t="s">
        <v>1</v>
      </c>
      <c r="H244" t="s">
        <v>2</v>
      </c>
      <c r="I244" t="s">
        <v>1027</v>
      </c>
      <c r="J244" s="1">
        <v>46175</v>
      </c>
      <c r="K244" t="s">
        <v>1037</v>
      </c>
    </row>
    <row r="245" spans="1:11" x14ac:dyDescent="0.45">
      <c r="A245" t="s">
        <v>255</v>
      </c>
      <c r="B245" t="s">
        <v>1030</v>
      </c>
      <c r="C245">
        <v>36</v>
      </c>
      <c r="D245">
        <v>4</v>
      </c>
      <c r="E245" t="s">
        <v>1025</v>
      </c>
      <c r="F245" t="s">
        <v>1031</v>
      </c>
      <c r="G245" t="s">
        <v>1</v>
      </c>
      <c r="H245" t="s">
        <v>2</v>
      </c>
      <c r="I245" t="s">
        <v>1027</v>
      </c>
      <c r="J245" s="1">
        <v>46175</v>
      </c>
      <c r="K245" t="s">
        <v>1037</v>
      </c>
    </row>
    <row r="246" spans="1:11" x14ac:dyDescent="0.45">
      <c r="A246" t="s">
        <v>256</v>
      </c>
      <c r="B246" t="s">
        <v>1029</v>
      </c>
      <c r="C246">
        <v>56</v>
      </c>
      <c r="D246">
        <v>4</v>
      </c>
      <c r="E246" t="s">
        <v>1025</v>
      </c>
      <c r="F246" t="s">
        <v>1026</v>
      </c>
      <c r="G246" t="s">
        <v>1</v>
      </c>
      <c r="H246" t="s">
        <v>2</v>
      </c>
      <c r="I246" t="s">
        <v>1027</v>
      </c>
      <c r="J246" s="1">
        <v>46175</v>
      </c>
      <c r="K246" t="s">
        <v>1037</v>
      </c>
    </row>
    <row r="247" spans="1:11" x14ac:dyDescent="0.45">
      <c r="A247" t="s">
        <v>257</v>
      </c>
      <c r="B247" t="s">
        <v>1030</v>
      </c>
      <c r="C247">
        <v>34</v>
      </c>
      <c r="D247">
        <v>2</v>
      </c>
      <c r="E247" t="s">
        <v>1025</v>
      </c>
      <c r="F247" t="s">
        <v>1031</v>
      </c>
      <c r="G247" t="s">
        <v>1</v>
      </c>
      <c r="H247" t="s">
        <v>2</v>
      </c>
      <c r="I247" t="s">
        <v>1027</v>
      </c>
      <c r="J247" s="1">
        <v>46175</v>
      </c>
      <c r="K247" t="s">
        <v>1037</v>
      </c>
    </row>
    <row r="248" spans="1:11" x14ac:dyDescent="0.45">
      <c r="A248" t="s">
        <v>258</v>
      </c>
      <c r="B248" t="s">
        <v>1024</v>
      </c>
      <c r="C248">
        <v>17</v>
      </c>
      <c r="D248">
        <v>2</v>
      </c>
      <c r="E248" t="s">
        <v>1025</v>
      </c>
      <c r="F248" t="s">
        <v>1026</v>
      </c>
      <c r="G248" t="s">
        <v>1</v>
      </c>
      <c r="H248" t="s">
        <v>2</v>
      </c>
      <c r="I248" t="s">
        <v>1027</v>
      </c>
      <c r="J248" s="1">
        <v>46175</v>
      </c>
      <c r="K248" t="s">
        <v>1037</v>
      </c>
    </row>
    <row r="249" spans="1:11" x14ac:dyDescent="0.45">
      <c r="A249" t="s">
        <v>259</v>
      </c>
      <c r="B249" t="s">
        <v>1030</v>
      </c>
      <c r="C249">
        <v>31</v>
      </c>
      <c r="D249">
        <v>3</v>
      </c>
      <c r="E249" t="s">
        <v>1025</v>
      </c>
      <c r="F249" t="s">
        <v>1032</v>
      </c>
      <c r="G249" t="s">
        <v>1</v>
      </c>
      <c r="H249" t="s">
        <v>2</v>
      </c>
      <c r="I249" t="s">
        <v>1027</v>
      </c>
      <c r="J249" s="1">
        <v>46175</v>
      </c>
      <c r="K249" t="s">
        <v>1037</v>
      </c>
    </row>
    <row r="250" spans="1:11" x14ac:dyDescent="0.45">
      <c r="A250" t="s">
        <v>260</v>
      </c>
      <c r="B250" t="s">
        <v>1024</v>
      </c>
      <c r="C250">
        <v>24</v>
      </c>
      <c r="D250">
        <v>1</v>
      </c>
      <c r="E250" t="s">
        <v>1025</v>
      </c>
      <c r="F250" t="s">
        <v>1033</v>
      </c>
      <c r="G250" t="s">
        <v>1</v>
      </c>
      <c r="H250" t="s">
        <v>2</v>
      </c>
      <c r="I250" t="s">
        <v>1027</v>
      </c>
      <c r="J250" s="1">
        <v>46175</v>
      </c>
      <c r="K250" t="s">
        <v>1037</v>
      </c>
    </row>
    <row r="251" spans="1:11" x14ac:dyDescent="0.45">
      <c r="A251" t="s">
        <v>261</v>
      </c>
      <c r="B251" t="s">
        <v>1030</v>
      </c>
      <c r="C251">
        <v>32</v>
      </c>
      <c r="D251">
        <v>0</v>
      </c>
      <c r="E251" t="s">
        <v>1025</v>
      </c>
      <c r="F251" t="s">
        <v>1032</v>
      </c>
      <c r="G251" t="s">
        <v>1</v>
      </c>
      <c r="H251" t="s">
        <v>2</v>
      </c>
      <c r="I251" t="s">
        <v>1027</v>
      </c>
      <c r="J251" s="1">
        <v>46175</v>
      </c>
      <c r="K251" t="s">
        <v>1037</v>
      </c>
    </row>
    <row r="252" spans="1:11" x14ac:dyDescent="0.45">
      <c r="A252" t="s">
        <v>262</v>
      </c>
      <c r="B252" t="s">
        <v>1030</v>
      </c>
      <c r="C252">
        <v>38</v>
      </c>
      <c r="D252">
        <v>0</v>
      </c>
      <c r="E252" t="s">
        <v>1025</v>
      </c>
      <c r="F252" t="s">
        <v>1031</v>
      </c>
      <c r="G252" t="s">
        <v>1</v>
      </c>
      <c r="H252" t="s">
        <v>2</v>
      </c>
      <c r="I252" t="s">
        <v>1027</v>
      </c>
      <c r="J252" s="1">
        <v>46175</v>
      </c>
      <c r="K252" t="s">
        <v>1037</v>
      </c>
    </row>
    <row r="253" spans="1:11" x14ac:dyDescent="0.45">
      <c r="A253" t="s">
        <v>263</v>
      </c>
      <c r="B253" t="s">
        <v>1029</v>
      </c>
      <c r="C253">
        <v>48</v>
      </c>
      <c r="D253">
        <v>1</v>
      </c>
      <c r="E253" t="s">
        <v>1025</v>
      </c>
      <c r="F253" t="s">
        <v>1032</v>
      </c>
      <c r="G253" t="s">
        <v>1</v>
      </c>
      <c r="H253" t="s">
        <v>2</v>
      </c>
      <c r="I253" t="s">
        <v>1027</v>
      </c>
      <c r="J253" s="1">
        <v>46175</v>
      </c>
      <c r="K253" t="s">
        <v>1037</v>
      </c>
    </row>
    <row r="254" spans="1:11" x14ac:dyDescent="0.45">
      <c r="A254" t="s">
        <v>264</v>
      </c>
      <c r="B254" t="s">
        <v>1029</v>
      </c>
      <c r="C254">
        <v>65</v>
      </c>
      <c r="D254">
        <v>2</v>
      </c>
      <c r="E254" t="s">
        <v>1025</v>
      </c>
      <c r="F254" t="s">
        <v>1031</v>
      </c>
      <c r="G254" t="s">
        <v>1</v>
      </c>
      <c r="H254" t="s">
        <v>2</v>
      </c>
      <c r="I254" t="s">
        <v>1027</v>
      </c>
      <c r="J254" s="1">
        <v>46175</v>
      </c>
      <c r="K254" t="s">
        <v>1037</v>
      </c>
    </row>
    <row r="255" spans="1:11" x14ac:dyDescent="0.45">
      <c r="A255" t="s">
        <v>265</v>
      </c>
      <c r="B255" t="s">
        <v>1024</v>
      </c>
      <c r="C255">
        <v>11</v>
      </c>
      <c r="D255">
        <v>2</v>
      </c>
      <c r="E255" t="s">
        <v>1025</v>
      </c>
      <c r="F255" t="s">
        <v>1033</v>
      </c>
      <c r="G255" t="s">
        <v>1</v>
      </c>
      <c r="H255" t="s">
        <v>2</v>
      </c>
      <c r="I255" t="s">
        <v>1027</v>
      </c>
      <c r="J255" s="1">
        <v>46175</v>
      </c>
      <c r="K255" t="s">
        <v>1037</v>
      </c>
    </row>
    <row r="256" spans="1:11" x14ac:dyDescent="0.45">
      <c r="A256" t="s">
        <v>266</v>
      </c>
      <c r="B256" t="s">
        <v>1029</v>
      </c>
      <c r="C256">
        <v>57</v>
      </c>
      <c r="D256">
        <v>0</v>
      </c>
      <c r="E256" t="s">
        <v>1025</v>
      </c>
      <c r="F256" t="s">
        <v>1032</v>
      </c>
      <c r="G256" t="s">
        <v>1</v>
      </c>
      <c r="H256" t="s">
        <v>2</v>
      </c>
      <c r="I256" t="s">
        <v>1027</v>
      </c>
      <c r="J256" s="1">
        <v>46175</v>
      </c>
      <c r="K256" t="s">
        <v>1037</v>
      </c>
    </row>
    <row r="257" spans="1:11" x14ac:dyDescent="0.45">
      <c r="A257" t="s">
        <v>267</v>
      </c>
      <c r="B257" t="s">
        <v>1030</v>
      </c>
      <c r="C257">
        <v>41</v>
      </c>
      <c r="D257">
        <v>0</v>
      </c>
      <c r="E257" t="s">
        <v>1025</v>
      </c>
      <c r="F257" t="s">
        <v>1032</v>
      </c>
      <c r="G257" t="s">
        <v>1</v>
      </c>
      <c r="H257" t="s">
        <v>2</v>
      </c>
      <c r="I257" t="s">
        <v>1027</v>
      </c>
      <c r="J257" s="1">
        <v>46175</v>
      </c>
      <c r="K257" t="s">
        <v>1037</v>
      </c>
    </row>
    <row r="258" spans="1:11" x14ac:dyDescent="0.45">
      <c r="A258" t="s">
        <v>268</v>
      </c>
      <c r="B258" t="s">
        <v>1030</v>
      </c>
      <c r="C258">
        <v>44</v>
      </c>
      <c r="D258">
        <v>14</v>
      </c>
      <c r="E258" t="s">
        <v>1036</v>
      </c>
      <c r="F258" t="s">
        <v>1026</v>
      </c>
      <c r="G258" t="s">
        <v>1035</v>
      </c>
      <c r="H258" t="s">
        <v>3</v>
      </c>
      <c r="I258" t="s">
        <v>1027</v>
      </c>
      <c r="J258" s="1">
        <v>46175</v>
      </c>
      <c r="K258" t="s">
        <v>1037</v>
      </c>
    </row>
    <row r="259" spans="1:11" x14ac:dyDescent="0.45">
      <c r="A259" t="s">
        <v>269</v>
      </c>
      <c r="B259" t="s">
        <v>1030</v>
      </c>
      <c r="C259">
        <v>38</v>
      </c>
      <c r="D259">
        <v>5</v>
      </c>
      <c r="E259" t="s">
        <v>1025</v>
      </c>
      <c r="F259" t="s">
        <v>1033</v>
      </c>
      <c r="G259" t="s">
        <v>1</v>
      </c>
      <c r="H259" t="s">
        <v>2</v>
      </c>
      <c r="I259" t="s">
        <v>1027</v>
      </c>
      <c r="J259" s="1">
        <v>46175</v>
      </c>
      <c r="K259" t="s">
        <v>1037</v>
      </c>
    </row>
    <row r="260" spans="1:11" x14ac:dyDescent="0.45">
      <c r="A260" t="s">
        <v>270</v>
      </c>
      <c r="B260" t="s">
        <v>1029</v>
      </c>
      <c r="C260">
        <v>60</v>
      </c>
      <c r="D260">
        <v>2</v>
      </c>
      <c r="E260" t="s">
        <v>1025</v>
      </c>
      <c r="F260" t="s">
        <v>1033</v>
      </c>
      <c r="G260" t="s">
        <v>1</v>
      </c>
      <c r="H260" t="s">
        <v>2</v>
      </c>
      <c r="I260" t="s">
        <v>1027</v>
      </c>
      <c r="J260" s="1">
        <v>46175</v>
      </c>
      <c r="K260" t="s">
        <v>1037</v>
      </c>
    </row>
    <row r="261" spans="1:11" x14ac:dyDescent="0.45">
      <c r="A261" t="s">
        <v>271</v>
      </c>
      <c r="B261" t="s">
        <v>1029</v>
      </c>
      <c r="C261">
        <v>54</v>
      </c>
      <c r="D261">
        <v>1</v>
      </c>
      <c r="E261" t="s">
        <v>1025</v>
      </c>
      <c r="F261" t="s">
        <v>1033</v>
      </c>
      <c r="G261" t="s">
        <v>1</v>
      </c>
      <c r="H261" t="s">
        <v>2</v>
      </c>
      <c r="I261" t="s">
        <v>1027</v>
      </c>
      <c r="J261" s="1">
        <v>46175</v>
      </c>
      <c r="K261" t="s">
        <v>1037</v>
      </c>
    </row>
    <row r="262" spans="1:11" x14ac:dyDescent="0.45">
      <c r="A262" t="s">
        <v>272</v>
      </c>
      <c r="B262" t="s">
        <v>1024</v>
      </c>
      <c r="C262">
        <v>13</v>
      </c>
      <c r="D262">
        <v>0</v>
      </c>
      <c r="E262" t="s">
        <v>1025</v>
      </c>
      <c r="F262" t="s">
        <v>1026</v>
      </c>
      <c r="G262" t="s">
        <v>1</v>
      </c>
      <c r="H262" t="s">
        <v>2</v>
      </c>
      <c r="I262" t="s">
        <v>1027</v>
      </c>
      <c r="J262" s="1">
        <v>46175</v>
      </c>
      <c r="K262" t="s">
        <v>1037</v>
      </c>
    </row>
    <row r="263" spans="1:11" x14ac:dyDescent="0.45">
      <c r="A263" t="s">
        <v>273</v>
      </c>
      <c r="B263" t="s">
        <v>1024</v>
      </c>
      <c r="C263">
        <v>15</v>
      </c>
      <c r="D263">
        <v>0</v>
      </c>
      <c r="E263" t="s">
        <v>1025</v>
      </c>
      <c r="F263" t="s">
        <v>1026</v>
      </c>
      <c r="G263" t="s">
        <v>1</v>
      </c>
      <c r="H263" t="s">
        <v>2</v>
      </c>
      <c r="I263" t="s">
        <v>1027</v>
      </c>
      <c r="J263" s="1">
        <v>46175</v>
      </c>
      <c r="K263" t="s">
        <v>1037</v>
      </c>
    </row>
    <row r="264" spans="1:11" x14ac:dyDescent="0.45">
      <c r="A264" t="s">
        <v>274</v>
      </c>
      <c r="B264" t="s">
        <v>1030</v>
      </c>
      <c r="C264">
        <v>40</v>
      </c>
      <c r="D264">
        <v>2</v>
      </c>
      <c r="E264" t="s">
        <v>1025</v>
      </c>
      <c r="F264" t="s">
        <v>1026</v>
      </c>
      <c r="G264" t="s">
        <v>1</v>
      </c>
      <c r="H264" t="s">
        <v>2</v>
      </c>
      <c r="I264" t="s">
        <v>1027</v>
      </c>
      <c r="J264" s="1">
        <v>46175</v>
      </c>
      <c r="K264" t="s">
        <v>1037</v>
      </c>
    </row>
    <row r="265" spans="1:11" x14ac:dyDescent="0.45">
      <c r="A265" t="s">
        <v>275</v>
      </c>
      <c r="B265" t="s">
        <v>1029</v>
      </c>
      <c r="C265">
        <v>63</v>
      </c>
      <c r="D265">
        <v>1</v>
      </c>
      <c r="E265" t="s">
        <v>1025</v>
      </c>
      <c r="F265" t="s">
        <v>1026</v>
      </c>
      <c r="G265" t="s">
        <v>1</v>
      </c>
      <c r="H265" t="s">
        <v>2</v>
      </c>
      <c r="I265" t="s">
        <v>1027</v>
      </c>
      <c r="J265" s="1">
        <v>46175</v>
      </c>
      <c r="K265" t="s">
        <v>1037</v>
      </c>
    </row>
    <row r="266" spans="1:11" x14ac:dyDescent="0.45">
      <c r="A266" t="s">
        <v>276</v>
      </c>
      <c r="B266" t="s">
        <v>1024</v>
      </c>
      <c r="C266">
        <v>12</v>
      </c>
      <c r="D266">
        <v>1</v>
      </c>
      <c r="E266" t="s">
        <v>1025</v>
      </c>
      <c r="F266" t="s">
        <v>1032</v>
      </c>
      <c r="G266" t="s">
        <v>1</v>
      </c>
      <c r="H266" t="s">
        <v>2</v>
      </c>
      <c r="I266" t="s">
        <v>1027</v>
      </c>
      <c r="J266" s="1">
        <v>46175</v>
      </c>
      <c r="K266" t="s">
        <v>1037</v>
      </c>
    </row>
    <row r="267" spans="1:11" x14ac:dyDescent="0.45">
      <c r="A267" t="s">
        <v>277</v>
      </c>
      <c r="B267" t="s">
        <v>1024</v>
      </c>
      <c r="C267">
        <v>23</v>
      </c>
      <c r="D267">
        <v>1</v>
      </c>
      <c r="E267" t="s">
        <v>1025</v>
      </c>
      <c r="F267" t="s">
        <v>1032</v>
      </c>
      <c r="G267" t="s">
        <v>1</v>
      </c>
      <c r="H267" t="s">
        <v>2</v>
      </c>
      <c r="I267" t="s">
        <v>1027</v>
      </c>
      <c r="J267" s="1">
        <v>46175</v>
      </c>
      <c r="K267" t="s">
        <v>1037</v>
      </c>
    </row>
    <row r="268" spans="1:11" x14ac:dyDescent="0.45">
      <c r="A268" t="s">
        <v>278</v>
      </c>
      <c r="B268" t="s">
        <v>1030</v>
      </c>
      <c r="C268">
        <v>42</v>
      </c>
      <c r="D268">
        <v>0</v>
      </c>
      <c r="E268" t="s">
        <v>1025</v>
      </c>
      <c r="F268" t="s">
        <v>1031</v>
      </c>
      <c r="G268" t="s">
        <v>1</v>
      </c>
      <c r="H268" t="s">
        <v>2</v>
      </c>
      <c r="I268" t="s">
        <v>1027</v>
      </c>
      <c r="J268" s="1">
        <v>46175</v>
      </c>
      <c r="K268" t="s">
        <v>1037</v>
      </c>
    </row>
    <row r="269" spans="1:11" x14ac:dyDescent="0.45">
      <c r="A269" t="s">
        <v>279</v>
      </c>
      <c r="B269" t="s">
        <v>1024</v>
      </c>
      <c r="C269">
        <v>22</v>
      </c>
      <c r="D269">
        <v>29</v>
      </c>
      <c r="E269" t="s">
        <v>1034</v>
      </c>
      <c r="F269" t="s">
        <v>1031</v>
      </c>
      <c r="G269" t="s">
        <v>1035</v>
      </c>
      <c r="H269" t="s">
        <v>3</v>
      </c>
      <c r="I269" t="s">
        <v>1027</v>
      </c>
      <c r="J269" s="1">
        <v>46175</v>
      </c>
      <c r="K269" t="s">
        <v>1037</v>
      </c>
    </row>
    <row r="270" spans="1:11" x14ac:dyDescent="0.45">
      <c r="A270" t="s">
        <v>280</v>
      </c>
      <c r="B270" t="s">
        <v>1029</v>
      </c>
      <c r="C270">
        <v>46</v>
      </c>
      <c r="D270">
        <v>5</v>
      </c>
      <c r="E270" t="s">
        <v>1025</v>
      </c>
      <c r="F270" t="s">
        <v>1026</v>
      </c>
      <c r="G270" t="s">
        <v>1</v>
      </c>
      <c r="H270" t="s">
        <v>2</v>
      </c>
      <c r="I270" t="s">
        <v>1027</v>
      </c>
      <c r="J270" s="1">
        <v>46175</v>
      </c>
      <c r="K270" t="s">
        <v>1037</v>
      </c>
    </row>
    <row r="271" spans="1:11" x14ac:dyDescent="0.45">
      <c r="A271" t="s">
        <v>281</v>
      </c>
      <c r="B271" t="s">
        <v>1029</v>
      </c>
      <c r="C271">
        <v>49</v>
      </c>
      <c r="D271">
        <v>4</v>
      </c>
      <c r="E271" t="s">
        <v>1025</v>
      </c>
      <c r="F271" t="s">
        <v>1032</v>
      </c>
      <c r="G271" t="s">
        <v>1</v>
      </c>
      <c r="H271" t="s">
        <v>2</v>
      </c>
      <c r="I271" t="s">
        <v>1027</v>
      </c>
      <c r="J271" s="1">
        <v>46175</v>
      </c>
      <c r="K271" t="s">
        <v>1037</v>
      </c>
    </row>
    <row r="272" spans="1:11" x14ac:dyDescent="0.45">
      <c r="A272" t="s">
        <v>282</v>
      </c>
      <c r="B272" t="s">
        <v>1024</v>
      </c>
      <c r="C272">
        <v>22</v>
      </c>
      <c r="D272">
        <v>0</v>
      </c>
      <c r="E272" t="s">
        <v>1025</v>
      </c>
      <c r="F272" t="s">
        <v>1032</v>
      </c>
      <c r="G272" t="s">
        <v>1</v>
      </c>
      <c r="H272" t="s">
        <v>2</v>
      </c>
      <c r="I272" t="s">
        <v>1027</v>
      </c>
      <c r="J272" s="1">
        <v>46175</v>
      </c>
      <c r="K272" t="s">
        <v>1037</v>
      </c>
    </row>
    <row r="273" spans="1:11" x14ac:dyDescent="0.45">
      <c r="A273" t="s">
        <v>283</v>
      </c>
      <c r="B273" t="s">
        <v>1024</v>
      </c>
      <c r="C273">
        <v>21</v>
      </c>
      <c r="D273">
        <v>3</v>
      </c>
      <c r="E273" t="s">
        <v>1025</v>
      </c>
      <c r="F273" t="s">
        <v>1032</v>
      </c>
      <c r="G273" t="s">
        <v>1</v>
      </c>
      <c r="H273" t="s">
        <v>2</v>
      </c>
      <c r="I273" t="s">
        <v>1027</v>
      </c>
      <c r="J273" s="1">
        <v>46175</v>
      </c>
      <c r="K273" t="s">
        <v>1037</v>
      </c>
    </row>
    <row r="274" spans="1:11" x14ac:dyDescent="0.45">
      <c r="A274" t="s">
        <v>284</v>
      </c>
      <c r="B274" t="s">
        <v>1024</v>
      </c>
      <c r="C274">
        <v>18</v>
      </c>
      <c r="D274">
        <v>3</v>
      </c>
      <c r="E274" t="s">
        <v>1025</v>
      </c>
      <c r="F274" t="s">
        <v>1032</v>
      </c>
      <c r="G274" t="s">
        <v>1</v>
      </c>
      <c r="H274" t="s">
        <v>2</v>
      </c>
      <c r="I274" t="s">
        <v>1027</v>
      </c>
      <c r="J274" s="1">
        <v>46175</v>
      </c>
      <c r="K274" t="s">
        <v>1037</v>
      </c>
    </row>
    <row r="275" spans="1:11" x14ac:dyDescent="0.45">
      <c r="A275" t="s">
        <v>285</v>
      </c>
      <c r="B275" t="s">
        <v>1030</v>
      </c>
      <c r="C275">
        <v>47</v>
      </c>
      <c r="D275">
        <v>0</v>
      </c>
      <c r="E275" t="s">
        <v>1025</v>
      </c>
      <c r="F275" t="s">
        <v>1033</v>
      </c>
      <c r="G275" t="s">
        <v>1</v>
      </c>
      <c r="H275" t="s">
        <v>2</v>
      </c>
      <c r="I275" t="s">
        <v>1027</v>
      </c>
      <c r="J275" s="1">
        <v>46175</v>
      </c>
      <c r="K275" t="s">
        <v>1037</v>
      </c>
    </row>
    <row r="276" spans="1:11" x14ac:dyDescent="0.45">
      <c r="A276" t="s">
        <v>286</v>
      </c>
      <c r="B276" t="s">
        <v>1030</v>
      </c>
      <c r="C276">
        <v>37</v>
      </c>
      <c r="D276">
        <v>28</v>
      </c>
      <c r="E276" t="s">
        <v>1034</v>
      </c>
      <c r="F276" t="s">
        <v>1026</v>
      </c>
      <c r="G276" t="s">
        <v>1035</v>
      </c>
      <c r="H276" t="s">
        <v>3</v>
      </c>
      <c r="I276" t="s">
        <v>1027</v>
      </c>
      <c r="J276" s="1">
        <v>46175</v>
      </c>
      <c r="K276" t="s">
        <v>1037</v>
      </c>
    </row>
    <row r="277" spans="1:11" x14ac:dyDescent="0.45">
      <c r="A277" t="s">
        <v>287</v>
      </c>
      <c r="B277" t="s">
        <v>1029</v>
      </c>
      <c r="C277">
        <v>48</v>
      </c>
      <c r="D277">
        <v>2</v>
      </c>
      <c r="E277" t="s">
        <v>1025</v>
      </c>
      <c r="F277" t="s">
        <v>1032</v>
      </c>
      <c r="G277" t="s">
        <v>1</v>
      </c>
      <c r="H277" t="s">
        <v>2</v>
      </c>
      <c r="I277" t="s">
        <v>1027</v>
      </c>
      <c r="J277" s="1">
        <v>46175</v>
      </c>
      <c r="K277" t="s">
        <v>1037</v>
      </c>
    </row>
    <row r="278" spans="1:11" x14ac:dyDescent="0.45">
      <c r="A278" t="s">
        <v>288</v>
      </c>
      <c r="B278" t="s">
        <v>1030</v>
      </c>
      <c r="C278">
        <v>45</v>
      </c>
      <c r="D278">
        <v>2</v>
      </c>
      <c r="E278" t="s">
        <v>1025</v>
      </c>
      <c r="F278" t="s">
        <v>1026</v>
      </c>
      <c r="G278" t="s">
        <v>1</v>
      </c>
      <c r="H278" t="s">
        <v>2</v>
      </c>
      <c r="I278" t="s">
        <v>1027</v>
      </c>
      <c r="J278" s="1">
        <v>46175</v>
      </c>
      <c r="K278" t="s">
        <v>1037</v>
      </c>
    </row>
    <row r="279" spans="1:11" x14ac:dyDescent="0.45">
      <c r="A279" t="s">
        <v>289</v>
      </c>
      <c r="B279" t="s">
        <v>1024</v>
      </c>
      <c r="C279">
        <v>19</v>
      </c>
      <c r="D279">
        <v>5</v>
      </c>
      <c r="E279" t="s">
        <v>1025</v>
      </c>
      <c r="F279" t="s">
        <v>1031</v>
      </c>
      <c r="G279" t="s">
        <v>1</v>
      </c>
      <c r="H279" t="s">
        <v>2</v>
      </c>
      <c r="I279" t="s">
        <v>1027</v>
      </c>
      <c r="J279" s="1">
        <v>46175</v>
      </c>
      <c r="K279" t="s">
        <v>1037</v>
      </c>
    </row>
    <row r="280" spans="1:11" x14ac:dyDescent="0.45">
      <c r="A280" t="s">
        <v>290</v>
      </c>
      <c r="B280" t="s">
        <v>1024</v>
      </c>
      <c r="C280">
        <v>23</v>
      </c>
      <c r="D280">
        <v>0</v>
      </c>
      <c r="E280" t="s">
        <v>1025</v>
      </c>
      <c r="F280" t="s">
        <v>1032</v>
      </c>
      <c r="G280" t="s">
        <v>1</v>
      </c>
      <c r="H280" t="s">
        <v>2</v>
      </c>
      <c r="I280" t="s">
        <v>1027</v>
      </c>
      <c r="J280" s="1">
        <v>46175</v>
      </c>
      <c r="K280" t="s">
        <v>1037</v>
      </c>
    </row>
    <row r="281" spans="1:11" x14ac:dyDescent="0.45">
      <c r="A281" t="s">
        <v>291</v>
      </c>
      <c r="B281" t="s">
        <v>1030</v>
      </c>
      <c r="C281">
        <v>41</v>
      </c>
      <c r="D281">
        <v>1</v>
      </c>
      <c r="E281" t="s">
        <v>1025</v>
      </c>
      <c r="F281" t="s">
        <v>1032</v>
      </c>
      <c r="G281" t="s">
        <v>1</v>
      </c>
      <c r="H281" t="s">
        <v>2</v>
      </c>
      <c r="I281" t="s">
        <v>1027</v>
      </c>
      <c r="J281" s="1">
        <v>46175</v>
      </c>
      <c r="K281" t="s">
        <v>1037</v>
      </c>
    </row>
    <row r="282" spans="1:11" x14ac:dyDescent="0.45">
      <c r="A282" t="s">
        <v>292</v>
      </c>
      <c r="B282" t="s">
        <v>1024</v>
      </c>
      <c r="C282">
        <v>25</v>
      </c>
      <c r="D282">
        <v>0</v>
      </c>
      <c r="E282" t="s">
        <v>1025</v>
      </c>
      <c r="F282" t="s">
        <v>1026</v>
      </c>
      <c r="G282" t="s">
        <v>1</v>
      </c>
      <c r="H282" t="s">
        <v>2</v>
      </c>
      <c r="I282" t="s">
        <v>1027</v>
      </c>
      <c r="J282" s="1">
        <v>46175</v>
      </c>
      <c r="K282" t="s">
        <v>1037</v>
      </c>
    </row>
    <row r="283" spans="1:11" x14ac:dyDescent="0.45">
      <c r="A283" t="s">
        <v>293</v>
      </c>
      <c r="B283" t="s">
        <v>1029</v>
      </c>
      <c r="C283">
        <v>52</v>
      </c>
      <c r="D283">
        <v>3</v>
      </c>
      <c r="E283" t="s">
        <v>1025</v>
      </c>
      <c r="F283" t="s">
        <v>1032</v>
      </c>
      <c r="G283" t="s">
        <v>1</v>
      </c>
      <c r="H283" t="s">
        <v>2</v>
      </c>
      <c r="I283" t="s">
        <v>1027</v>
      </c>
      <c r="J283" s="1">
        <v>46175</v>
      </c>
      <c r="K283" t="s">
        <v>1037</v>
      </c>
    </row>
    <row r="284" spans="1:11" x14ac:dyDescent="0.45">
      <c r="A284" t="s">
        <v>294</v>
      </c>
      <c r="B284" t="s">
        <v>1030</v>
      </c>
      <c r="C284">
        <v>34</v>
      </c>
      <c r="D284">
        <v>2</v>
      </c>
      <c r="E284" t="s">
        <v>1025</v>
      </c>
      <c r="F284" t="s">
        <v>1032</v>
      </c>
      <c r="G284" t="s">
        <v>1</v>
      </c>
      <c r="H284" t="s">
        <v>2</v>
      </c>
      <c r="I284" t="s">
        <v>1027</v>
      </c>
      <c r="J284" s="1">
        <v>46175</v>
      </c>
      <c r="K284" t="s">
        <v>1037</v>
      </c>
    </row>
    <row r="285" spans="1:11" x14ac:dyDescent="0.45">
      <c r="A285" t="s">
        <v>295</v>
      </c>
      <c r="B285" t="s">
        <v>1030</v>
      </c>
      <c r="C285">
        <v>33</v>
      </c>
      <c r="D285">
        <v>1</v>
      </c>
      <c r="E285" t="s">
        <v>1025</v>
      </c>
      <c r="F285" t="s">
        <v>1031</v>
      </c>
      <c r="G285" t="s">
        <v>1</v>
      </c>
      <c r="H285" t="s">
        <v>2</v>
      </c>
      <c r="I285" t="s">
        <v>1027</v>
      </c>
      <c r="J285" s="1">
        <v>46175</v>
      </c>
      <c r="K285" t="s">
        <v>1037</v>
      </c>
    </row>
    <row r="286" spans="1:11" x14ac:dyDescent="0.45">
      <c r="A286" t="s">
        <v>296</v>
      </c>
      <c r="B286" t="s">
        <v>1030</v>
      </c>
      <c r="C286">
        <v>42</v>
      </c>
      <c r="D286">
        <v>4</v>
      </c>
      <c r="E286" t="s">
        <v>1025</v>
      </c>
      <c r="F286" t="s">
        <v>1033</v>
      </c>
      <c r="G286" t="s">
        <v>1</v>
      </c>
      <c r="H286" t="s">
        <v>2</v>
      </c>
      <c r="I286" t="s">
        <v>1027</v>
      </c>
      <c r="J286" s="1">
        <v>46175</v>
      </c>
      <c r="K286" t="s">
        <v>1037</v>
      </c>
    </row>
    <row r="287" spans="1:11" x14ac:dyDescent="0.45">
      <c r="A287" t="s">
        <v>297</v>
      </c>
      <c r="B287" t="s">
        <v>1029</v>
      </c>
      <c r="C287">
        <v>46</v>
      </c>
      <c r="D287">
        <v>0</v>
      </c>
      <c r="E287" t="s">
        <v>1025</v>
      </c>
      <c r="F287" t="s">
        <v>1032</v>
      </c>
      <c r="G287" t="s">
        <v>1</v>
      </c>
      <c r="H287" t="s">
        <v>2</v>
      </c>
      <c r="I287" t="s">
        <v>1027</v>
      </c>
      <c r="J287" s="1">
        <v>46175</v>
      </c>
      <c r="K287" t="s">
        <v>1037</v>
      </c>
    </row>
    <row r="288" spans="1:11" x14ac:dyDescent="0.45">
      <c r="A288" t="s">
        <v>298</v>
      </c>
      <c r="B288" t="s">
        <v>1029</v>
      </c>
      <c r="C288">
        <v>61</v>
      </c>
      <c r="D288">
        <v>0</v>
      </c>
      <c r="E288" t="s">
        <v>1025</v>
      </c>
      <c r="F288" t="s">
        <v>1031</v>
      </c>
      <c r="G288" t="s">
        <v>1</v>
      </c>
      <c r="H288" t="s">
        <v>2</v>
      </c>
      <c r="I288" t="s">
        <v>1027</v>
      </c>
      <c r="J288" s="1">
        <v>46175</v>
      </c>
      <c r="K288" t="s">
        <v>1037</v>
      </c>
    </row>
    <row r="289" spans="1:11" x14ac:dyDescent="0.45">
      <c r="A289" t="s">
        <v>299</v>
      </c>
      <c r="B289" t="s">
        <v>1024</v>
      </c>
      <c r="C289">
        <v>22</v>
      </c>
      <c r="D289">
        <v>2</v>
      </c>
      <c r="E289" t="s">
        <v>1025</v>
      </c>
      <c r="F289" t="s">
        <v>1033</v>
      </c>
      <c r="G289" t="s">
        <v>1</v>
      </c>
      <c r="H289" t="s">
        <v>2</v>
      </c>
      <c r="I289" t="s">
        <v>1027</v>
      </c>
      <c r="J289" s="1">
        <v>46175</v>
      </c>
      <c r="K289" t="s">
        <v>1037</v>
      </c>
    </row>
    <row r="290" spans="1:11" x14ac:dyDescent="0.45">
      <c r="A290" t="s">
        <v>300</v>
      </c>
      <c r="B290" t="s">
        <v>1024</v>
      </c>
      <c r="C290">
        <v>12</v>
      </c>
      <c r="D290">
        <v>3</v>
      </c>
      <c r="E290" t="s">
        <v>1025</v>
      </c>
      <c r="F290" t="s">
        <v>1026</v>
      </c>
      <c r="G290" t="s">
        <v>1</v>
      </c>
      <c r="H290" t="s">
        <v>2</v>
      </c>
      <c r="I290" t="s">
        <v>1027</v>
      </c>
      <c r="J290" s="1">
        <v>46175</v>
      </c>
      <c r="K290" t="s">
        <v>1037</v>
      </c>
    </row>
    <row r="291" spans="1:11" x14ac:dyDescent="0.45">
      <c r="A291" t="s">
        <v>301</v>
      </c>
      <c r="B291" t="s">
        <v>1024</v>
      </c>
      <c r="C291">
        <v>12</v>
      </c>
      <c r="D291">
        <v>1</v>
      </c>
      <c r="E291" t="s">
        <v>1025</v>
      </c>
      <c r="F291" t="s">
        <v>1032</v>
      </c>
      <c r="G291" t="s">
        <v>1</v>
      </c>
      <c r="H291" t="s">
        <v>2</v>
      </c>
      <c r="I291" t="s">
        <v>1027</v>
      </c>
      <c r="J291" s="1">
        <v>46175</v>
      </c>
      <c r="K291" t="s">
        <v>1037</v>
      </c>
    </row>
    <row r="292" spans="1:11" x14ac:dyDescent="0.45">
      <c r="A292" t="s">
        <v>302</v>
      </c>
      <c r="B292" t="s">
        <v>1029</v>
      </c>
      <c r="C292">
        <v>54</v>
      </c>
      <c r="D292">
        <v>1</v>
      </c>
      <c r="E292" t="s">
        <v>1025</v>
      </c>
      <c r="F292" t="s">
        <v>1026</v>
      </c>
      <c r="G292" t="s">
        <v>1</v>
      </c>
      <c r="H292" t="s">
        <v>2</v>
      </c>
      <c r="I292" t="s">
        <v>1027</v>
      </c>
      <c r="J292" s="1">
        <v>46175</v>
      </c>
      <c r="K292" t="s">
        <v>1037</v>
      </c>
    </row>
    <row r="293" spans="1:11" x14ac:dyDescent="0.45">
      <c r="A293" t="s">
        <v>303</v>
      </c>
      <c r="B293" t="s">
        <v>1024</v>
      </c>
      <c r="C293">
        <v>13</v>
      </c>
      <c r="D293">
        <v>2</v>
      </c>
      <c r="E293" t="s">
        <v>1025</v>
      </c>
      <c r="F293" t="s">
        <v>1033</v>
      </c>
      <c r="G293" t="s">
        <v>1</v>
      </c>
      <c r="H293" t="s">
        <v>2</v>
      </c>
      <c r="I293" t="s">
        <v>1027</v>
      </c>
      <c r="J293" s="1">
        <v>46175</v>
      </c>
      <c r="K293" t="s">
        <v>1037</v>
      </c>
    </row>
    <row r="294" spans="1:11" x14ac:dyDescent="0.45">
      <c r="A294" t="s">
        <v>304</v>
      </c>
      <c r="B294" t="s">
        <v>1024</v>
      </c>
      <c r="C294">
        <v>14</v>
      </c>
      <c r="D294">
        <v>1</v>
      </c>
      <c r="E294" t="s">
        <v>1025</v>
      </c>
      <c r="F294" t="s">
        <v>1032</v>
      </c>
      <c r="G294" t="s">
        <v>1</v>
      </c>
      <c r="H294" t="s">
        <v>2</v>
      </c>
      <c r="I294" t="s">
        <v>1027</v>
      </c>
      <c r="J294" s="1">
        <v>46175</v>
      </c>
      <c r="K294" t="s">
        <v>1037</v>
      </c>
    </row>
    <row r="295" spans="1:11" x14ac:dyDescent="0.45">
      <c r="A295" t="s">
        <v>305</v>
      </c>
      <c r="B295" t="s">
        <v>1024</v>
      </c>
      <c r="C295">
        <v>13</v>
      </c>
      <c r="D295">
        <v>20</v>
      </c>
      <c r="E295" t="s">
        <v>1034</v>
      </c>
      <c r="F295" t="s">
        <v>1032</v>
      </c>
      <c r="G295" t="s">
        <v>1035</v>
      </c>
      <c r="H295" t="s">
        <v>3</v>
      </c>
      <c r="I295" t="s">
        <v>1027</v>
      </c>
      <c r="J295" s="1">
        <v>46175</v>
      </c>
      <c r="K295" t="s">
        <v>1037</v>
      </c>
    </row>
    <row r="296" spans="1:11" x14ac:dyDescent="0.45">
      <c r="A296" t="s">
        <v>306</v>
      </c>
      <c r="B296" t="s">
        <v>1030</v>
      </c>
      <c r="C296">
        <v>33</v>
      </c>
      <c r="D296">
        <v>0</v>
      </c>
      <c r="E296" t="s">
        <v>1025</v>
      </c>
      <c r="F296" t="s">
        <v>1033</v>
      </c>
      <c r="G296" t="s">
        <v>1</v>
      </c>
      <c r="H296" t="s">
        <v>2</v>
      </c>
      <c r="I296" t="s">
        <v>1027</v>
      </c>
      <c r="J296" s="1">
        <v>46175</v>
      </c>
      <c r="K296" t="s">
        <v>1037</v>
      </c>
    </row>
    <row r="297" spans="1:11" x14ac:dyDescent="0.45">
      <c r="A297" t="s">
        <v>307</v>
      </c>
      <c r="B297" t="s">
        <v>1029</v>
      </c>
      <c r="C297">
        <v>61</v>
      </c>
      <c r="D297">
        <v>1</v>
      </c>
      <c r="E297" t="s">
        <v>1025</v>
      </c>
      <c r="F297" t="s">
        <v>1026</v>
      </c>
      <c r="G297" t="s">
        <v>1</v>
      </c>
      <c r="H297" t="s">
        <v>2</v>
      </c>
      <c r="I297" t="s">
        <v>1027</v>
      </c>
      <c r="J297" s="1">
        <v>46175</v>
      </c>
      <c r="K297" t="s">
        <v>1037</v>
      </c>
    </row>
    <row r="298" spans="1:11" x14ac:dyDescent="0.45">
      <c r="A298" t="s">
        <v>308</v>
      </c>
      <c r="B298" t="s">
        <v>1030</v>
      </c>
      <c r="C298">
        <v>47</v>
      </c>
      <c r="D298">
        <v>3</v>
      </c>
      <c r="E298" t="s">
        <v>1025</v>
      </c>
      <c r="F298" t="s">
        <v>1032</v>
      </c>
      <c r="G298" t="s">
        <v>1</v>
      </c>
      <c r="H298" t="s">
        <v>2</v>
      </c>
      <c r="I298" t="s">
        <v>1027</v>
      </c>
      <c r="J298" s="1">
        <v>46175</v>
      </c>
      <c r="K298" t="s">
        <v>1037</v>
      </c>
    </row>
    <row r="299" spans="1:11" x14ac:dyDescent="0.45">
      <c r="A299" t="s">
        <v>309</v>
      </c>
      <c r="B299" t="s">
        <v>1029</v>
      </c>
      <c r="C299">
        <v>60</v>
      </c>
      <c r="D299">
        <v>4</v>
      </c>
      <c r="E299" t="s">
        <v>1025</v>
      </c>
      <c r="F299" t="s">
        <v>1026</v>
      </c>
      <c r="G299" t="s">
        <v>1</v>
      </c>
      <c r="H299" t="s">
        <v>2</v>
      </c>
      <c r="I299" t="s">
        <v>1027</v>
      </c>
      <c r="J299" s="1">
        <v>46175</v>
      </c>
      <c r="K299" t="s">
        <v>1037</v>
      </c>
    </row>
    <row r="300" spans="1:11" x14ac:dyDescent="0.45">
      <c r="A300" t="s">
        <v>310</v>
      </c>
      <c r="B300" t="s">
        <v>1029</v>
      </c>
      <c r="C300">
        <v>64</v>
      </c>
      <c r="D300">
        <v>0</v>
      </c>
      <c r="E300" t="s">
        <v>1025</v>
      </c>
      <c r="F300" t="s">
        <v>1033</v>
      </c>
      <c r="G300" t="s">
        <v>1</v>
      </c>
      <c r="H300" t="s">
        <v>2</v>
      </c>
      <c r="I300" t="s">
        <v>1027</v>
      </c>
      <c r="J300" s="1">
        <v>46175</v>
      </c>
      <c r="K300" t="s">
        <v>1037</v>
      </c>
    </row>
    <row r="301" spans="1:11" x14ac:dyDescent="0.45">
      <c r="A301" t="s">
        <v>311</v>
      </c>
      <c r="B301" t="s">
        <v>1030</v>
      </c>
      <c r="C301">
        <v>34</v>
      </c>
      <c r="D301">
        <v>3</v>
      </c>
      <c r="E301" t="s">
        <v>1025</v>
      </c>
      <c r="F301" t="s">
        <v>1033</v>
      </c>
      <c r="G301" t="s">
        <v>1</v>
      </c>
      <c r="H301" t="s">
        <v>2</v>
      </c>
      <c r="I301" t="s">
        <v>1027</v>
      </c>
      <c r="J301" s="1">
        <v>46175</v>
      </c>
      <c r="K301" t="s">
        <v>1037</v>
      </c>
    </row>
    <row r="302" spans="1:11" x14ac:dyDescent="0.45">
      <c r="A302" t="s">
        <v>312</v>
      </c>
      <c r="B302" t="s">
        <v>1030</v>
      </c>
      <c r="C302">
        <v>34</v>
      </c>
      <c r="D302">
        <v>2</v>
      </c>
      <c r="E302" t="s">
        <v>1025</v>
      </c>
      <c r="F302" t="s">
        <v>1032</v>
      </c>
      <c r="G302" t="s">
        <v>1</v>
      </c>
      <c r="H302" t="s">
        <v>2</v>
      </c>
      <c r="I302" t="s">
        <v>1027</v>
      </c>
      <c r="J302" s="1">
        <v>46175</v>
      </c>
      <c r="K302" t="s">
        <v>1037</v>
      </c>
    </row>
    <row r="303" spans="1:11" x14ac:dyDescent="0.45">
      <c r="A303" t="s">
        <v>313</v>
      </c>
      <c r="B303" t="s">
        <v>1030</v>
      </c>
      <c r="C303">
        <v>35</v>
      </c>
      <c r="D303">
        <v>0</v>
      </c>
      <c r="E303" t="s">
        <v>1025</v>
      </c>
      <c r="F303" t="s">
        <v>1031</v>
      </c>
      <c r="G303" t="s">
        <v>1</v>
      </c>
      <c r="H303" t="s">
        <v>2</v>
      </c>
      <c r="I303" t="s">
        <v>1027</v>
      </c>
      <c r="J303" s="1">
        <v>46175</v>
      </c>
      <c r="K303" t="s">
        <v>1037</v>
      </c>
    </row>
    <row r="304" spans="1:11" x14ac:dyDescent="0.45">
      <c r="A304" t="s">
        <v>314</v>
      </c>
      <c r="B304" t="s">
        <v>1030</v>
      </c>
      <c r="C304">
        <v>38</v>
      </c>
      <c r="D304">
        <v>0</v>
      </c>
      <c r="E304" t="s">
        <v>1025</v>
      </c>
      <c r="F304" t="s">
        <v>1026</v>
      </c>
      <c r="G304" t="s">
        <v>1</v>
      </c>
      <c r="H304" t="s">
        <v>2</v>
      </c>
      <c r="I304" t="s">
        <v>1027</v>
      </c>
      <c r="J304" s="1">
        <v>46175</v>
      </c>
      <c r="K304" t="s">
        <v>1037</v>
      </c>
    </row>
    <row r="305" spans="1:11" x14ac:dyDescent="0.45">
      <c r="A305" t="s">
        <v>315</v>
      </c>
      <c r="B305" t="s">
        <v>1029</v>
      </c>
      <c r="C305">
        <v>54</v>
      </c>
      <c r="D305">
        <v>2</v>
      </c>
      <c r="E305" t="s">
        <v>1025</v>
      </c>
      <c r="F305" t="s">
        <v>1031</v>
      </c>
      <c r="G305" t="s">
        <v>1</v>
      </c>
      <c r="H305" t="s">
        <v>2</v>
      </c>
      <c r="I305" t="s">
        <v>1027</v>
      </c>
      <c r="J305" s="1">
        <v>46175</v>
      </c>
      <c r="K305" t="s">
        <v>1037</v>
      </c>
    </row>
    <row r="306" spans="1:11" x14ac:dyDescent="0.45">
      <c r="A306" t="s">
        <v>316</v>
      </c>
      <c r="B306" t="s">
        <v>1024</v>
      </c>
      <c r="C306">
        <v>19</v>
      </c>
      <c r="D306">
        <v>2</v>
      </c>
      <c r="E306" t="s">
        <v>1025</v>
      </c>
      <c r="F306" t="s">
        <v>1031</v>
      </c>
      <c r="G306" t="s">
        <v>1</v>
      </c>
      <c r="H306" t="s">
        <v>2</v>
      </c>
      <c r="I306" t="s">
        <v>1027</v>
      </c>
      <c r="J306" s="1">
        <v>46175</v>
      </c>
      <c r="K306" t="s">
        <v>1037</v>
      </c>
    </row>
    <row r="307" spans="1:11" x14ac:dyDescent="0.45">
      <c r="A307" t="s">
        <v>317</v>
      </c>
      <c r="B307" t="s">
        <v>1030</v>
      </c>
      <c r="C307">
        <v>34</v>
      </c>
      <c r="D307">
        <v>0</v>
      </c>
      <c r="E307" t="s">
        <v>1025</v>
      </c>
      <c r="F307" t="s">
        <v>1031</v>
      </c>
      <c r="G307" t="s">
        <v>1</v>
      </c>
      <c r="H307" t="s">
        <v>2</v>
      </c>
      <c r="I307" t="s">
        <v>1027</v>
      </c>
      <c r="J307" s="1">
        <v>46175</v>
      </c>
      <c r="K307" t="s">
        <v>1037</v>
      </c>
    </row>
    <row r="308" spans="1:11" x14ac:dyDescent="0.45">
      <c r="A308" t="s">
        <v>318</v>
      </c>
      <c r="B308" t="s">
        <v>1024</v>
      </c>
      <c r="C308">
        <v>18</v>
      </c>
      <c r="D308">
        <v>0</v>
      </c>
      <c r="E308" t="s">
        <v>1025</v>
      </c>
      <c r="F308" t="s">
        <v>1033</v>
      </c>
      <c r="G308" t="s">
        <v>1</v>
      </c>
      <c r="H308" t="s">
        <v>2</v>
      </c>
      <c r="I308" t="s">
        <v>1027</v>
      </c>
      <c r="J308" s="1">
        <v>46175</v>
      </c>
      <c r="K308" t="s">
        <v>1037</v>
      </c>
    </row>
    <row r="309" spans="1:11" x14ac:dyDescent="0.45">
      <c r="A309" t="s">
        <v>319</v>
      </c>
      <c r="B309" t="s">
        <v>1030</v>
      </c>
      <c r="C309">
        <v>48</v>
      </c>
      <c r="D309">
        <v>1</v>
      </c>
      <c r="E309" t="s">
        <v>1025</v>
      </c>
      <c r="F309" t="s">
        <v>1032</v>
      </c>
      <c r="G309" t="s">
        <v>1</v>
      </c>
      <c r="H309" t="s">
        <v>2</v>
      </c>
      <c r="I309" t="s">
        <v>1027</v>
      </c>
      <c r="J309" s="1">
        <v>46175</v>
      </c>
      <c r="K309" t="s">
        <v>1037</v>
      </c>
    </row>
    <row r="310" spans="1:11" x14ac:dyDescent="0.45">
      <c r="A310" t="s">
        <v>320</v>
      </c>
      <c r="B310" t="s">
        <v>1030</v>
      </c>
      <c r="C310">
        <v>45</v>
      </c>
      <c r="D310">
        <v>0</v>
      </c>
      <c r="E310" t="s">
        <v>1025</v>
      </c>
      <c r="F310" t="s">
        <v>1032</v>
      </c>
      <c r="G310" t="s">
        <v>1</v>
      </c>
      <c r="H310" t="s">
        <v>2</v>
      </c>
      <c r="I310" t="s">
        <v>1027</v>
      </c>
      <c r="J310" s="1">
        <v>46175</v>
      </c>
      <c r="K310" t="s">
        <v>1037</v>
      </c>
    </row>
    <row r="311" spans="1:11" x14ac:dyDescent="0.45">
      <c r="A311" t="s">
        <v>321</v>
      </c>
      <c r="B311" t="s">
        <v>1030</v>
      </c>
      <c r="C311">
        <v>43</v>
      </c>
      <c r="D311">
        <v>1</v>
      </c>
      <c r="E311" t="s">
        <v>1025</v>
      </c>
      <c r="F311" t="s">
        <v>1031</v>
      </c>
      <c r="G311" t="s">
        <v>1</v>
      </c>
      <c r="H311" t="s">
        <v>2</v>
      </c>
      <c r="I311" t="s">
        <v>1027</v>
      </c>
      <c r="J311" s="1">
        <v>46175</v>
      </c>
      <c r="K311" t="s">
        <v>1037</v>
      </c>
    </row>
    <row r="312" spans="1:11" x14ac:dyDescent="0.45">
      <c r="A312" t="s">
        <v>322</v>
      </c>
      <c r="B312" t="s">
        <v>1029</v>
      </c>
      <c r="C312">
        <v>55</v>
      </c>
      <c r="D312">
        <v>2</v>
      </c>
      <c r="E312" t="s">
        <v>1025</v>
      </c>
      <c r="F312" t="s">
        <v>1033</v>
      </c>
      <c r="G312" t="s">
        <v>1</v>
      </c>
      <c r="H312" t="s">
        <v>2</v>
      </c>
      <c r="I312" t="s">
        <v>1027</v>
      </c>
      <c r="J312" s="1">
        <v>46175</v>
      </c>
      <c r="K312" t="s">
        <v>1037</v>
      </c>
    </row>
    <row r="313" spans="1:11" x14ac:dyDescent="0.45">
      <c r="A313" t="s">
        <v>323</v>
      </c>
      <c r="B313" t="s">
        <v>1024</v>
      </c>
      <c r="C313">
        <v>13</v>
      </c>
      <c r="D313">
        <v>0</v>
      </c>
      <c r="E313" t="s">
        <v>1025</v>
      </c>
      <c r="F313" t="s">
        <v>1032</v>
      </c>
      <c r="G313" t="s">
        <v>1</v>
      </c>
      <c r="H313" t="s">
        <v>2</v>
      </c>
      <c r="I313" t="s">
        <v>1027</v>
      </c>
      <c r="J313" s="1">
        <v>46175</v>
      </c>
      <c r="K313" t="s">
        <v>1037</v>
      </c>
    </row>
    <row r="314" spans="1:11" x14ac:dyDescent="0.45">
      <c r="A314" t="s">
        <v>324</v>
      </c>
      <c r="B314" t="s">
        <v>1030</v>
      </c>
      <c r="C314">
        <v>40</v>
      </c>
      <c r="D314">
        <v>0</v>
      </c>
      <c r="E314" t="s">
        <v>1025</v>
      </c>
      <c r="F314" t="s">
        <v>1026</v>
      </c>
      <c r="G314" t="s">
        <v>1</v>
      </c>
      <c r="H314" t="s">
        <v>2</v>
      </c>
      <c r="I314" t="s">
        <v>1027</v>
      </c>
      <c r="J314" s="1">
        <v>46175</v>
      </c>
      <c r="K314" t="s">
        <v>1037</v>
      </c>
    </row>
    <row r="315" spans="1:11" x14ac:dyDescent="0.45">
      <c r="A315" t="s">
        <v>325</v>
      </c>
      <c r="B315" t="s">
        <v>1029</v>
      </c>
      <c r="C315">
        <v>48</v>
      </c>
      <c r="D315">
        <v>1</v>
      </c>
      <c r="E315" t="s">
        <v>1025</v>
      </c>
      <c r="F315" t="s">
        <v>1026</v>
      </c>
      <c r="G315" t="s">
        <v>1</v>
      </c>
      <c r="H315" t="s">
        <v>2</v>
      </c>
      <c r="I315" t="s">
        <v>1027</v>
      </c>
      <c r="J315" s="1">
        <v>46175</v>
      </c>
      <c r="K315" t="s">
        <v>1037</v>
      </c>
    </row>
    <row r="316" spans="1:11" x14ac:dyDescent="0.45">
      <c r="A316" t="s">
        <v>326</v>
      </c>
      <c r="B316" t="s">
        <v>1030</v>
      </c>
      <c r="C316">
        <v>31</v>
      </c>
      <c r="D316">
        <v>3</v>
      </c>
      <c r="E316" t="s">
        <v>1025</v>
      </c>
      <c r="F316" t="s">
        <v>1031</v>
      </c>
      <c r="G316" t="s">
        <v>1</v>
      </c>
      <c r="H316" t="s">
        <v>2</v>
      </c>
      <c r="I316" t="s">
        <v>1027</v>
      </c>
      <c r="J316" s="1">
        <v>46175</v>
      </c>
      <c r="K316" t="s">
        <v>1037</v>
      </c>
    </row>
    <row r="317" spans="1:11" x14ac:dyDescent="0.45">
      <c r="A317" t="s">
        <v>327</v>
      </c>
      <c r="B317" t="s">
        <v>1029</v>
      </c>
      <c r="C317">
        <v>47</v>
      </c>
      <c r="D317">
        <v>14</v>
      </c>
      <c r="E317" t="s">
        <v>1036</v>
      </c>
      <c r="F317" t="s">
        <v>1033</v>
      </c>
      <c r="G317" t="s">
        <v>1035</v>
      </c>
      <c r="H317" t="s">
        <v>3</v>
      </c>
      <c r="I317" t="s">
        <v>1027</v>
      </c>
      <c r="J317" s="1">
        <v>46175</v>
      </c>
      <c r="K317" t="s">
        <v>1037</v>
      </c>
    </row>
    <row r="318" spans="1:11" x14ac:dyDescent="0.45">
      <c r="A318" t="s">
        <v>328</v>
      </c>
      <c r="B318" t="s">
        <v>1024</v>
      </c>
      <c r="C318">
        <v>12</v>
      </c>
      <c r="D318">
        <v>0</v>
      </c>
      <c r="E318" t="s">
        <v>1025</v>
      </c>
      <c r="F318" t="s">
        <v>1031</v>
      </c>
      <c r="G318" t="s">
        <v>1</v>
      </c>
      <c r="H318" t="s">
        <v>2</v>
      </c>
      <c r="I318" t="s">
        <v>1027</v>
      </c>
      <c r="J318" s="1">
        <v>46175</v>
      </c>
      <c r="K318" t="s">
        <v>1037</v>
      </c>
    </row>
    <row r="319" spans="1:11" x14ac:dyDescent="0.45">
      <c r="A319" t="s">
        <v>329</v>
      </c>
      <c r="B319" t="s">
        <v>1030</v>
      </c>
      <c r="C319">
        <v>33</v>
      </c>
      <c r="D319">
        <v>1</v>
      </c>
      <c r="E319" t="s">
        <v>1025</v>
      </c>
      <c r="F319" t="s">
        <v>1026</v>
      </c>
      <c r="G319" t="s">
        <v>1</v>
      </c>
      <c r="H319" t="s">
        <v>2</v>
      </c>
      <c r="I319" t="s">
        <v>1027</v>
      </c>
      <c r="J319" s="1">
        <v>46175</v>
      </c>
      <c r="K319" t="s">
        <v>1037</v>
      </c>
    </row>
    <row r="320" spans="1:11" x14ac:dyDescent="0.45">
      <c r="A320" t="s">
        <v>330</v>
      </c>
      <c r="B320" t="s">
        <v>1024</v>
      </c>
      <c r="C320">
        <v>14</v>
      </c>
      <c r="D320">
        <v>0</v>
      </c>
      <c r="E320" t="s">
        <v>1025</v>
      </c>
      <c r="F320" t="s">
        <v>1026</v>
      </c>
      <c r="G320" t="s">
        <v>1</v>
      </c>
      <c r="H320" t="s">
        <v>2</v>
      </c>
      <c r="I320" t="s">
        <v>1027</v>
      </c>
      <c r="J320" s="1">
        <v>46175</v>
      </c>
      <c r="K320" t="s">
        <v>1037</v>
      </c>
    </row>
    <row r="321" spans="1:11" x14ac:dyDescent="0.45">
      <c r="A321" t="s">
        <v>331</v>
      </c>
      <c r="B321" t="s">
        <v>1024</v>
      </c>
      <c r="C321">
        <v>10</v>
      </c>
      <c r="D321">
        <v>2</v>
      </c>
      <c r="E321" t="s">
        <v>1025</v>
      </c>
      <c r="F321" t="s">
        <v>1031</v>
      </c>
      <c r="G321" t="s">
        <v>1</v>
      </c>
      <c r="H321" t="s">
        <v>2</v>
      </c>
      <c r="I321" t="s">
        <v>1027</v>
      </c>
      <c r="J321" s="1">
        <v>46175</v>
      </c>
      <c r="K321" t="s">
        <v>1037</v>
      </c>
    </row>
    <row r="322" spans="1:11" x14ac:dyDescent="0.45">
      <c r="A322" t="s">
        <v>332</v>
      </c>
      <c r="B322" t="s">
        <v>1029</v>
      </c>
      <c r="C322">
        <v>55</v>
      </c>
      <c r="D322">
        <v>0</v>
      </c>
      <c r="E322" t="s">
        <v>1025</v>
      </c>
      <c r="F322" t="s">
        <v>1031</v>
      </c>
      <c r="G322" t="s">
        <v>1</v>
      </c>
      <c r="H322" t="s">
        <v>2</v>
      </c>
      <c r="I322" t="s">
        <v>1027</v>
      </c>
      <c r="J322" s="1">
        <v>46175</v>
      </c>
      <c r="K322" t="s">
        <v>1037</v>
      </c>
    </row>
    <row r="323" spans="1:11" x14ac:dyDescent="0.45">
      <c r="A323" t="s">
        <v>333</v>
      </c>
      <c r="B323" t="s">
        <v>1030</v>
      </c>
      <c r="C323">
        <v>45</v>
      </c>
      <c r="D323">
        <v>3</v>
      </c>
      <c r="E323" t="s">
        <v>1025</v>
      </c>
      <c r="F323" t="s">
        <v>1032</v>
      </c>
      <c r="G323" t="s">
        <v>1</v>
      </c>
      <c r="H323" t="s">
        <v>2</v>
      </c>
      <c r="I323" t="s">
        <v>1027</v>
      </c>
      <c r="J323" s="1">
        <v>46175</v>
      </c>
      <c r="K323" t="s">
        <v>1037</v>
      </c>
    </row>
    <row r="324" spans="1:11" x14ac:dyDescent="0.45">
      <c r="A324" t="s">
        <v>334</v>
      </c>
      <c r="B324" t="s">
        <v>1029</v>
      </c>
      <c r="C324">
        <v>52</v>
      </c>
      <c r="D324">
        <v>4</v>
      </c>
      <c r="E324" t="s">
        <v>1025</v>
      </c>
      <c r="F324" t="s">
        <v>1033</v>
      </c>
      <c r="G324" t="s">
        <v>1</v>
      </c>
      <c r="H324" t="s">
        <v>2</v>
      </c>
      <c r="I324" t="s">
        <v>1027</v>
      </c>
      <c r="J324" s="1">
        <v>46175</v>
      </c>
      <c r="K324" t="s">
        <v>1037</v>
      </c>
    </row>
    <row r="325" spans="1:11" x14ac:dyDescent="0.45">
      <c r="A325" t="s">
        <v>335</v>
      </c>
      <c r="B325" t="s">
        <v>1030</v>
      </c>
      <c r="C325">
        <v>35</v>
      </c>
      <c r="D325">
        <v>1</v>
      </c>
      <c r="E325" t="s">
        <v>1025</v>
      </c>
      <c r="F325" t="s">
        <v>1033</v>
      </c>
      <c r="G325" t="s">
        <v>1</v>
      </c>
      <c r="H325" t="s">
        <v>2</v>
      </c>
      <c r="I325" t="s">
        <v>1027</v>
      </c>
      <c r="J325" s="1">
        <v>46175</v>
      </c>
      <c r="K325" t="s">
        <v>1037</v>
      </c>
    </row>
    <row r="326" spans="1:11" x14ac:dyDescent="0.45">
      <c r="A326" t="s">
        <v>336</v>
      </c>
      <c r="B326" t="s">
        <v>1024</v>
      </c>
      <c r="C326">
        <v>10</v>
      </c>
      <c r="D326">
        <v>0</v>
      </c>
      <c r="E326" t="s">
        <v>1025</v>
      </c>
      <c r="F326" t="s">
        <v>1032</v>
      </c>
      <c r="G326" t="s">
        <v>1</v>
      </c>
      <c r="H326" t="s">
        <v>2</v>
      </c>
      <c r="I326" t="s">
        <v>1027</v>
      </c>
      <c r="J326" s="1">
        <v>46175</v>
      </c>
      <c r="K326" t="s">
        <v>1037</v>
      </c>
    </row>
    <row r="327" spans="1:11" x14ac:dyDescent="0.45">
      <c r="A327" t="s">
        <v>337</v>
      </c>
      <c r="B327" t="s">
        <v>1029</v>
      </c>
      <c r="C327">
        <v>50</v>
      </c>
      <c r="D327">
        <v>22</v>
      </c>
      <c r="E327" t="s">
        <v>1034</v>
      </c>
      <c r="F327" t="s">
        <v>1032</v>
      </c>
      <c r="G327" t="s">
        <v>1035</v>
      </c>
      <c r="H327" t="s">
        <v>3</v>
      </c>
      <c r="I327" t="s">
        <v>1027</v>
      </c>
      <c r="J327" s="1">
        <v>46175</v>
      </c>
      <c r="K327" t="s">
        <v>1037</v>
      </c>
    </row>
    <row r="328" spans="1:11" x14ac:dyDescent="0.45">
      <c r="A328" t="s">
        <v>338</v>
      </c>
      <c r="B328" t="s">
        <v>1024</v>
      </c>
      <c r="C328">
        <v>18</v>
      </c>
      <c r="D328">
        <v>1</v>
      </c>
      <c r="E328" t="s">
        <v>1025</v>
      </c>
      <c r="F328" t="s">
        <v>1026</v>
      </c>
      <c r="G328" t="s">
        <v>1</v>
      </c>
      <c r="H328" t="s">
        <v>2</v>
      </c>
      <c r="I328" t="s">
        <v>1027</v>
      </c>
      <c r="J328" s="1">
        <v>46175</v>
      </c>
      <c r="K328" t="s">
        <v>1037</v>
      </c>
    </row>
    <row r="329" spans="1:11" x14ac:dyDescent="0.45">
      <c r="A329" t="s">
        <v>339</v>
      </c>
      <c r="B329" t="s">
        <v>1030</v>
      </c>
      <c r="C329">
        <v>36</v>
      </c>
      <c r="D329">
        <v>0</v>
      </c>
      <c r="E329" t="s">
        <v>1025</v>
      </c>
      <c r="F329" t="s">
        <v>1026</v>
      </c>
      <c r="G329" t="s">
        <v>1</v>
      </c>
      <c r="H329" t="s">
        <v>2</v>
      </c>
      <c r="I329" t="s">
        <v>1027</v>
      </c>
      <c r="J329" s="1">
        <v>46175</v>
      </c>
      <c r="K329" t="s">
        <v>1037</v>
      </c>
    </row>
    <row r="330" spans="1:11" x14ac:dyDescent="0.45">
      <c r="A330" t="s">
        <v>340</v>
      </c>
      <c r="B330" t="s">
        <v>1029</v>
      </c>
      <c r="C330">
        <v>48</v>
      </c>
      <c r="D330">
        <v>3</v>
      </c>
      <c r="E330" t="s">
        <v>1025</v>
      </c>
      <c r="F330" t="s">
        <v>1032</v>
      </c>
      <c r="G330" t="s">
        <v>1</v>
      </c>
      <c r="H330" t="s">
        <v>2</v>
      </c>
      <c r="I330" t="s">
        <v>1027</v>
      </c>
      <c r="J330" s="1">
        <v>46175</v>
      </c>
      <c r="K330" t="s">
        <v>1037</v>
      </c>
    </row>
    <row r="331" spans="1:11" x14ac:dyDescent="0.45">
      <c r="A331" t="s">
        <v>341</v>
      </c>
      <c r="B331" t="s">
        <v>1024</v>
      </c>
      <c r="C331">
        <v>10</v>
      </c>
      <c r="D331">
        <v>2</v>
      </c>
      <c r="E331" t="s">
        <v>1025</v>
      </c>
      <c r="F331" t="s">
        <v>1026</v>
      </c>
      <c r="G331" t="s">
        <v>1</v>
      </c>
      <c r="H331" t="s">
        <v>2</v>
      </c>
      <c r="I331" t="s">
        <v>1027</v>
      </c>
      <c r="J331" s="1">
        <v>46175</v>
      </c>
      <c r="K331" t="s">
        <v>1037</v>
      </c>
    </row>
    <row r="332" spans="1:11" x14ac:dyDescent="0.45">
      <c r="A332" t="s">
        <v>342</v>
      </c>
      <c r="B332" t="s">
        <v>1030</v>
      </c>
      <c r="C332">
        <v>45</v>
      </c>
      <c r="D332">
        <v>2</v>
      </c>
      <c r="E332" t="s">
        <v>1025</v>
      </c>
      <c r="F332" t="s">
        <v>1033</v>
      </c>
      <c r="G332" t="s">
        <v>1</v>
      </c>
      <c r="H332" t="s">
        <v>2</v>
      </c>
      <c r="I332" t="s">
        <v>1027</v>
      </c>
      <c r="J332" s="1">
        <v>46175</v>
      </c>
      <c r="K332" t="s">
        <v>1037</v>
      </c>
    </row>
    <row r="333" spans="1:11" x14ac:dyDescent="0.45">
      <c r="A333" t="s">
        <v>343</v>
      </c>
      <c r="B333" t="s">
        <v>1029</v>
      </c>
      <c r="C333">
        <v>54</v>
      </c>
      <c r="D333">
        <v>13</v>
      </c>
      <c r="E333" t="s">
        <v>1036</v>
      </c>
      <c r="F333" t="s">
        <v>1031</v>
      </c>
      <c r="G333" t="s">
        <v>1035</v>
      </c>
      <c r="H333" t="s">
        <v>3</v>
      </c>
      <c r="I333" t="s">
        <v>1027</v>
      </c>
      <c r="J333" s="1">
        <v>46175</v>
      </c>
      <c r="K333" t="s">
        <v>1037</v>
      </c>
    </row>
    <row r="334" spans="1:11" x14ac:dyDescent="0.45">
      <c r="A334" t="s">
        <v>344</v>
      </c>
      <c r="B334" t="s">
        <v>1029</v>
      </c>
      <c r="C334">
        <v>52</v>
      </c>
      <c r="D334">
        <v>0</v>
      </c>
      <c r="E334" t="s">
        <v>1025</v>
      </c>
      <c r="F334" t="s">
        <v>1026</v>
      </c>
      <c r="G334" t="s">
        <v>1</v>
      </c>
      <c r="H334" t="s">
        <v>2</v>
      </c>
      <c r="I334" t="s">
        <v>1027</v>
      </c>
      <c r="J334" s="1">
        <v>46175</v>
      </c>
      <c r="K334" t="s">
        <v>1037</v>
      </c>
    </row>
    <row r="335" spans="1:11" x14ac:dyDescent="0.45">
      <c r="A335" t="s">
        <v>345</v>
      </c>
      <c r="B335" t="s">
        <v>1024</v>
      </c>
      <c r="C335">
        <v>21</v>
      </c>
      <c r="D335">
        <v>0</v>
      </c>
      <c r="E335" t="s">
        <v>1025</v>
      </c>
      <c r="F335" t="s">
        <v>1032</v>
      </c>
      <c r="G335" t="s">
        <v>1</v>
      </c>
      <c r="H335" t="s">
        <v>2</v>
      </c>
      <c r="I335" t="s">
        <v>1027</v>
      </c>
      <c r="J335" s="1">
        <v>46175</v>
      </c>
      <c r="K335" t="s">
        <v>1037</v>
      </c>
    </row>
    <row r="336" spans="1:11" x14ac:dyDescent="0.45">
      <c r="A336" t="s">
        <v>346</v>
      </c>
      <c r="B336" t="s">
        <v>1029</v>
      </c>
      <c r="C336">
        <v>61</v>
      </c>
      <c r="D336">
        <v>5</v>
      </c>
      <c r="E336" t="s">
        <v>1025</v>
      </c>
      <c r="F336" t="s">
        <v>1033</v>
      </c>
      <c r="G336" t="s">
        <v>1</v>
      </c>
      <c r="H336" t="s">
        <v>2</v>
      </c>
      <c r="I336" t="s">
        <v>1027</v>
      </c>
      <c r="J336" s="1">
        <v>46175</v>
      </c>
      <c r="K336" t="s">
        <v>1037</v>
      </c>
    </row>
    <row r="337" spans="1:11" x14ac:dyDescent="0.45">
      <c r="A337" t="s">
        <v>347</v>
      </c>
      <c r="B337" t="s">
        <v>1029</v>
      </c>
      <c r="C337">
        <v>54</v>
      </c>
      <c r="D337">
        <v>3</v>
      </c>
      <c r="E337" t="s">
        <v>1025</v>
      </c>
      <c r="F337" t="s">
        <v>1026</v>
      </c>
      <c r="G337" t="s">
        <v>1</v>
      </c>
      <c r="H337" t="s">
        <v>2</v>
      </c>
      <c r="I337" t="s">
        <v>1027</v>
      </c>
      <c r="J337" s="1">
        <v>46175</v>
      </c>
      <c r="K337" t="s">
        <v>1037</v>
      </c>
    </row>
    <row r="338" spans="1:11" x14ac:dyDescent="0.45">
      <c r="A338" t="s">
        <v>348</v>
      </c>
      <c r="B338" t="s">
        <v>1029</v>
      </c>
      <c r="C338">
        <v>62</v>
      </c>
      <c r="D338">
        <v>3</v>
      </c>
      <c r="E338" t="s">
        <v>1025</v>
      </c>
      <c r="F338" t="s">
        <v>1033</v>
      </c>
      <c r="G338" t="s">
        <v>1</v>
      </c>
      <c r="H338" t="s">
        <v>2</v>
      </c>
      <c r="I338" t="s">
        <v>1027</v>
      </c>
      <c r="J338" s="1">
        <v>46175</v>
      </c>
      <c r="K338" t="s">
        <v>1037</v>
      </c>
    </row>
    <row r="339" spans="1:11" x14ac:dyDescent="0.45">
      <c r="A339" t="s">
        <v>349</v>
      </c>
      <c r="B339" t="s">
        <v>1024</v>
      </c>
      <c r="C339">
        <v>12</v>
      </c>
      <c r="D339">
        <v>4</v>
      </c>
      <c r="E339" t="s">
        <v>1025</v>
      </c>
      <c r="F339" t="s">
        <v>1031</v>
      </c>
      <c r="G339" t="s">
        <v>1</v>
      </c>
      <c r="H339" t="s">
        <v>2</v>
      </c>
      <c r="I339" t="s">
        <v>1027</v>
      </c>
      <c r="J339" s="1">
        <v>46175</v>
      </c>
      <c r="K339" t="s">
        <v>1037</v>
      </c>
    </row>
    <row r="340" spans="1:11" x14ac:dyDescent="0.45">
      <c r="A340" t="s">
        <v>350</v>
      </c>
      <c r="B340" t="s">
        <v>1024</v>
      </c>
      <c r="C340">
        <v>14</v>
      </c>
      <c r="D340">
        <v>0</v>
      </c>
      <c r="E340" t="s">
        <v>1025</v>
      </c>
      <c r="F340" t="s">
        <v>1032</v>
      </c>
      <c r="G340" t="s">
        <v>1</v>
      </c>
      <c r="H340" t="s">
        <v>2</v>
      </c>
      <c r="I340" t="s">
        <v>1027</v>
      </c>
      <c r="J340" s="1">
        <v>46175</v>
      </c>
      <c r="K340" t="s">
        <v>1037</v>
      </c>
    </row>
    <row r="341" spans="1:11" x14ac:dyDescent="0.45">
      <c r="A341" t="s">
        <v>351</v>
      </c>
      <c r="B341" t="s">
        <v>1030</v>
      </c>
      <c r="C341">
        <v>40</v>
      </c>
      <c r="D341">
        <v>2</v>
      </c>
      <c r="E341" t="s">
        <v>1025</v>
      </c>
      <c r="F341" t="s">
        <v>1032</v>
      </c>
      <c r="G341" t="s">
        <v>1</v>
      </c>
      <c r="H341" t="s">
        <v>2</v>
      </c>
      <c r="I341" t="s">
        <v>1027</v>
      </c>
      <c r="J341" s="1">
        <v>46175</v>
      </c>
      <c r="K341" t="s">
        <v>1037</v>
      </c>
    </row>
    <row r="342" spans="1:11" x14ac:dyDescent="0.45">
      <c r="A342" t="s">
        <v>352</v>
      </c>
      <c r="B342" t="s">
        <v>1024</v>
      </c>
      <c r="C342">
        <v>10</v>
      </c>
      <c r="D342">
        <v>0</v>
      </c>
      <c r="E342" t="s">
        <v>1025</v>
      </c>
      <c r="F342" t="s">
        <v>1031</v>
      </c>
      <c r="G342" t="s">
        <v>1</v>
      </c>
      <c r="H342" t="s">
        <v>2</v>
      </c>
      <c r="I342" t="s">
        <v>1027</v>
      </c>
      <c r="J342" s="1">
        <v>46175</v>
      </c>
      <c r="K342" t="s">
        <v>1037</v>
      </c>
    </row>
    <row r="343" spans="1:11" x14ac:dyDescent="0.45">
      <c r="A343" t="s">
        <v>353</v>
      </c>
      <c r="B343" t="s">
        <v>1024</v>
      </c>
      <c r="C343">
        <v>20</v>
      </c>
      <c r="D343">
        <v>1</v>
      </c>
      <c r="E343" t="s">
        <v>1025</v>
      </c>
      <c r="F343" t="s">
        <v>1032</v>
      </c>
      <c r="G343" t="s">
        <v>1</v>
      </c>
      <c r="H343" t="s">
        <v>2</v>
      </c>
      <c r="I343" t="s">
        <v>1027</v>
      </c>
      <c r="J343" s="1">
        <v>46175</v>
      </c>
      <c r="K343" t="s">
        <v>1037</v>
      </c>
    </row>
    <row r="344" spans="1:11" x14ac:dyDescent="0.45">
      <c r="A344" t="s">
        <v>354</v>
      </c>
      <c r="B344" t="s">
        <v>1024</v>
      </c>
      <c r="C344">
        <v>21</v>
      </c>
      <c r="D344">
        <v>0</v>
      </c>
      <c r="E344" t="s">
        <v>1025</v>
      </c>
      <c r="F344" t="s">
        <v>1032</v>
      </c>
      <c r="G344" t="s">
        <v>1</v>
      </c>
      <c r="H344" t="s">
        <v>2</v>
      </c>
      <c r="I344" t="s">
        <v>1027</v>
      </c>
      <c r="J344" s="1">
        <v>46175</v>
      </c>
      <c r="K344" t="s">
        <v>1037</v>
      </c>
    </row>
    <row r="345" spans="1:11" x14ac:dyDescent="0.45">
      <c r="A345" t="s">
        <v>355</v>
      </c>
      <c r="B345" t="s">
        <v>1024</v>
      </c>
      <c r="C345">
        <v>17</v>
      </c>
      <c r="D345">
        <v>1</v>
      </c>
      <c r="E345" t="s">
        <v>1025</v>
      </c>
      <c r="F345" t="s">
        <v>1031</v>
      </c>
      <c r="G345" t="s">
        <v>1</v>
      </c>
      <c r="H345" t="s">
        <v>2</v>
      </c>
      <c r="I345" t="s">
        <v>1027</v>
      </c>
      <c r="J345" s="1">
        <v>46175</v>
      </c>
      <c r="K345" t="s">
        <v>1037</v>
      </c>
    </row>
    <row r="346" spans="1:11" x14ac:dyDescent="0.45">
      <c r="A346" t="s">
        <v>356</v>
      </c>
      <c r="B346" t="s">
        <v>1030</v>
      </c>
      <c r="C346">
        <v>30</v>
      </c>
      <c r="D346">
        <v>4</v>
      </c>
      <c r="E346" t="s">
        <v>1025</v>
      </c>
      <c r="F346" t="s">
        <v>1031</v>
      </c>
      <c r="G346" t="s">
        <v>1</v>
      </c>
      <c r="H346" t="s">
        <v>2</v>
      </c>
      <c r="I346" t="s">
        <v>1027</v>
      </c>
      <c r="J346" s="1">
        <v>46175</v>
      </c>
      <c r="K346" t="s">
        <v>1037</v>
      </c>
    </row>
    <row r="347" spans="1:11" x14ac:dyDescent="0.45">
      <c r="A347" t="s">
        <v>357</v>
      </c>
      <c r="B347" t="s">
        <v>1029</v>
      </c>
      <c r="C347">
        <v>56</v>
      </c>
      <c r="D347">
        <v>5</v>
      </c>
      <c r="E347" t="s">
        <v>1025</v>
      </c>
      <c r="F347" t="s">
        <v>1031</v>
      </c>
      <c r="G347" t="s">
        <v>1</v>
      </c>
      <c r="H347" t="s">
        <v>2</v>
      </c>
      <c r="I347" t="s">
        <v>1027</v>
      </c>
      <c r="J347" s="1">
        <v>46175</v>
      </c>
      <c r="K347" t="s">
        <v>1037</v>
      </c>
    </row>
    <row r="348" spans="1:11" x14ac:dyDescent="0.45">
      <c r="A348" t="s">
        <v>358</v>
      </c>
      <c r="B348" t="s">
        <v>1024</v>
      </c>
      <c r="C348">
        <v>23</v>
      </c>
      <c r="D348">
        <v>2</v>
      </c>
      <c r="E348" t="s">
        <v>1025</v>
      </c>
      <c r="F348" t="s">
        <v>1032</v>
      </c>
      <c r="G348" t="s">
        <v>1</v>
      </c>
      <c r="H348" t="s">
        <v>2</v>
      </c>
      <c r="I348" t="s">
        <v>1027</v>
      </c>
      <c r="J348" s="1">
        <v>46175</v>
      </c>
      <c r="K348" t="s">
        <v>1037</v>
      </c>
    </row>
    <row r="349" spans="1:11" x14ac:dyDescent="0.45">
      <c r="A349" t="s">
        <v>359</v>
      </c>
      <c r="B349" t="s">
        <v>1030</v>
      </c>
      <c r="C349">
        <v>31</v>
      </c>
      <c r="D349">
        <v>4</v>
      </c>
      <c r="E349" t="s">
        <v>1025</v>
      </c>
      <c r="F349" t="s">
        <v>1026</v>
      </c>
      <c r="G349" t="s">
        <v>1</v>
      </c>
      <c r="H349" t="s">
        <v>2</v>
      </c>
      <c r="I349" t="s">
        <v>1027</v>
      </c>
      <c r="J349" s="1">
        <v>46175</v>
      </c>
      <c r="K349" t="s">
        <v>1037</v>
      </c>
    </row>
    <row r="350" spans="1:11" x14ac:dyDescent="0.45">
      <c r="A350" t="s">
        <v>360</v>
      </c>
      <c r="B350" t="s">
        <v>1030</v>
      </c>
      <c r="C350">
        <v>30</v>
      </c>
      <c r="D350">
        <v>0</v>
      </c>
      <c r="E350" t="s">
        <v>1025</v>
      </c>
      <c r="F350" t="s">
        <v>1031</v>
      </c>
      <c r="G350" t="s">
        <v>1</v>
      </c>
      <c r="H350" t="s">
        <v>2</v>
      </c>
      <c r="I350" t="s">
        <v>1027</v>
      </c>
      <c r="J350" s="1">
        <v>46175</v>
      </c>
      <c r="K350" t="s">
        <v>1037</v>
      </c>
    </row>
    <row r="351" spans="1:11" x14ac:dyDescent="0.45">
      <c r="A351" t="s">
        <v>361</v>
      </c>
      <c r="B351" t="s">
        <v>1030</v>
      </c>
      <c r="C351">
        <v>33</v>
      </c>
      <c r="D351">
        <v>1</v>
      </c>
      <c r="E351" t="s">
        <v>1025</v>
      </c>
      <c r="F351" t="s">
        <v>1032</v>
      </c>
      <c r="G351" t="s">
        <v>1</v>
      </c>
      <c r="H351" t="s">
        <v>2</v>
      </c>
      <c r="I351" t="s">
        <v>1027</v>
      </c>
      <c r="J351" s="1">
        <v>46175</v>
      </c>
      <c r="K351" t="s">
        <v>1037</v>
      </c>
    </row>
    <row r="352" spans="1:11" x14ac:dyDescent="0.45">
      <c r="A352" t="s">
        <v>362</v>
      </c>
      <c r="B352" t="s">
        <v>1030</v>
      </c>
      <c r="C352">
        <v>42</v>
      </c>
      <c r="D352">
        <v>1</v>
      </c>
      <c r="E352" t="s">
        <v>1025</v>
      </c>
      <c r="F352" t="s">
        <v>1031</v>
      </c>
      <c r="G352" t="s">
        <v>1</v>
      </c>
      <c r="H352" t="s">
        <v>2</v>
      </c>
      <c r="I352" t="s">
        <v>1027</v>
      </c>
      <c r="J352" s="1">
        <v>46175</v>
      </c>
      <c r="K352" t="s">
        <v>1037</v>
      </c>
    </row>
    <row r="353" spans="1:11" x14ac:dyDescent="0.45">
      <c r="A353" t="s">
        <v>363</v>
      </c>
      <c r="B353" t="s">
        <v>1029</v>
      </c>
      <c r="C353">
        <v>49</v>
      </c>
      <c r="D353">
        <v>2</v>
      </c>
      <c r="E353" t="s">
        <v>1025</v>
      </c>
      <c r="F353" t="s">
        <v>1033</v>
      </c>
      <c r="G353" t="s">
        <v>1</v>
      </c>
      <c r="H353" t="s">
        <v>2</v>
      </c>
      <c r="I353" t="s">
        <v>1027</v>
      </c>
      <c r="J353" s="1">
        <v>46175</v>
      </c>
      <c r="K353" t="s">
        <v>1037</v>
      </c>
    </row>
    <row r="354" spans="1:11" x14ac:dyDescent="0.45">
      <c r="A354" t="s">
        <v>364</v>
      </c>
      <c r="B354" t="s">
        <v>1029</v>
      </c>
      <c r="C354">
        <v>51</v>
      </c>
      <c r="D354">
        <v>1</v>
      </c>
      <c r="E354" t="s">
        <v>1025</v>
      </c>
      <c r="F354" t="s">
        <v>1031</v>
      </c>
      <c r="G354" t="s">
        <v>1</v>
      </c>
      <c r="H354" t="s">
        <v>2</v>
      </c>
      <c r="I354" t="s">
        <v>1027</v>
      </c>
      <c r="J354" s="1">
        <v>46175</v>
      </c>
      <c r="K354" t="s">
        <v>1037</v>
      </c>
    </row>
    <row r="355" spans="1:11" x14ac:dyDescent="0.45">
      <c r="A355" t="s">
        <v>365</v>
      </c>
      <c r="B355" t="s">
        <v>1029</v>
      </c>
      <c r="C355">
        <v>65</v>
      </c>
      <c r="D355">
        <v>2</v>
      </c>
      <c r="E355" t="s">
        <v>1025</v>
      </c>
      <c r="F355" t="s">
        <v>1026</v>
      </c>
      <c r="G355" t="s">
        <v>1</v>
      </c>
      <c r="H355" t="s">
        <v>2</v>
      </c>
      <c r="I355" t="s">
        <v>1027</v>
      </c>
      <c r="J355" s="1">
        <v>46175</v>
      </c>
      <c r="K355" t="s">
        <v>1037</v>
      </c>
    </row>
    <row r="356" spans="1:11" x14ac:dyDescent="0.45">
      <c r="A356" t="s">
        <v>366</v>
      </c>
      <c r="B356" t="s">
        <v>1024</v>
      </c>
      <c r="C356">
        <v>11</v>
      </c>
      <c r="D356">
        <v>20</v>
      </c>
      <c r="E356" t="s">
        <v>1034</v>
      </c>
      <c r="F356" t="s">
        <v>1033</v>
      </c>
      <c r="G356" t="s">
        <v>1035</v>
      </c>
      <c r="H356" t="s">
        <v>3</v>
      </c>
      <c r="I356" t="s">
        <v>1027</v>
      </c>
      <c r="J356" s="1">
        <v>46175</v>
      </c>
      <c r="K356" t="s">
        <v>1037</v>
      </c>
    </row>
    <row r="357" spans="1:11" x14ac:dyDescent="0.45">
      <c r="A357" t="s">
        <v>367</v>
      </c>
      <c r="B357" t="s">
        <v>1029</v>
      </c>
      <c r="C357">
        <v>51</v>
      </c>
      <c r="D357">
        <v>2</v>
      </c>
      <c r="E357" t="s">
        <v>1025</v>
      </c>
      <c r="F357" t="s">
        <v>1026</v>
      </c>
      <c r="G357" t="s">
        <v>1</v>
      </c>
      <c r="H357" t="s">
        <v>2</v>
      </c>
      <c r="I357" t="s">
        <v>1027</v>
      </c>
      <c r="J357" s="1">
        <v>46175</v>
      </c>
      <c r="K357" t="s">
        <v>1037</v>
      </c>
    </row>
    <row r="358" spans="1:11" x14ac:dyDescent="0.45">
      <c r="A358" t="s">
        <v>368</v>
      </c>
      <c r="B358" t="s">
        <v>1030</v>
      </c>
      <c r="C358">
        <v>44</v>
      </c>
      <c r="D358">
        <v>2</v>
      </c>
      <c r="E358" t="s">
        <v>1025</v>
      </c>
      <c r="F358" t="s">
        <v>1033</v>
      </c>
      <c r="G358" t="s">
        <v>1</v>
      </c>
      <c r="H358" t="s">
        <v>2</v>
      </c>
      <c r="I358" t="s">
        <v>1027</v>
      </c>
      <c r="J358" s="1">
        <v>46175</v>
      </c>
      <c r="K358" t="s">
        <v>1037</v>
      </c>
    </row>
    <row r="359" spans="1:11" x14ac:dyDescent="0.45">
      <c r="A359" t="s">
        <v>369</v>
      </c>
      <c r="B359" t="s">
        <v>1024</v>
      </c>
      <c r="C359">
        <v>20</v>
      </c>
      <c r="D359">
        <v>2</v>
      </c>
      <c r="E359" t="s">
        <v>1025</v>
      </c>
      <c r="F359" t="s">
        <v>1031</v>
      </c>
      <c r="G359" t="s">
        <v>1</v>
      </c>
      <c r="H359" t="s">
        <v>2</v>
      </c>
      <c r="I359" t="s">
        <v>1027</v>
      </c>
      <c r="J359" s="1">
        <v>46175</v>
      </c>
      <c r="K359" t="s">
        <v>1037</v>
      </c>
    </row>
    <row r="360" spans="1:11" x14ac:dyDescent="0.45">
      <c r="A360" t="s">
        <v>370</v>
      </c>
      <c r="B360" t="s">
        <v>1029</v>
      </c>
      <c r="C360">
        <v>47</v>
      </c>
      <c r="D360">
        <v>1</v>
      </c>
      <c r="E360" t="s">
        <v>1025</v>
      </c>
      <c r="F360" t="s">
        <v>1032</v>
      </c>
      <c r="G360" t="s">
        <v>1</v>
      </c>
      <c r="H360" t="s">
        <v>2</v>
      </c>
      <c r="I360" t="s">
        <v>1027</v>
      </c>
      <c r="J360" s="1">
        <v>46175</v>
      </c>
      <c r="K360" t="s">
        <v>1037</v>
      </c>
    </row>
    <row r="361" spans="1:11" x14ac:dyDescent="0.45">
      <c r="A361" t="s">
        <v>371</v>
      </c>
      <c r="B361" t="s">
        <v>1029</v>
      </c>
      <c r="C361">
        <v>55</v>
      </c>
      <c r="D361">
        <v>3</v>
      </c>
      <c r="E361" t="s">
        <v>1025</v>
      </c>
      <c r="F361" t="s">
        <v>1033</v>
      </c>
      <c r="G361" t="s">
        <v>1</v>
      </c>
      <c r="H361" t="s">
        <v>2</v>
      </c>
      <c r="I361" t="s">
        <v>1027</v>
      </c>
      <c r="J361" s="1">
        <v>46175</v>
      </c>
      <c r="K361" t="s">
        <v>1037</v>
      </c>
    </row>
    <row r="362" spans="1:11" x14ac:dyDescent="0.45">
      <c r="A362" t="s">
        <v>372</v>
      </c>
      <c r="B362" t="s">
        <v>1024</v>
      </c>
      <c r="C362">
        <v>19</v>
      </c>
      <c r="D362">
        <v>0</v>
      </c>
      <c r="E362" t="s">
        <v>1025</v>
      </c>
      <c r="F362" t="s">
        <v>1031</v>
      </c>
      <c r="G362" t="s">
        <v>1</v>
      </c>
      <c r="H362" t="s">
        <v>2</v>
      </c>
      <c r="I362" t="s">
        <v>1027</v>
      </c>
      <c r="J362" s="1">
        <v>46175</v>
      </c>
      <c r="K362" t="s">
        <v>1037</v>
      </c>
    </row>
    <row r="363" spans="1:11" x14ac:dyDescent="0.45">
      <c r="A363" t="s">
        <v>373</v>
      </c>
      <c r="B363" t="s">
        <v>1029</v>
      </c>
      <c r="C363">
        <v>65</v>
      </c>
      <c r="D363">
        <v>33</v>
      </c>
      <c r="E363" t="s">
        <v>1034</v>
      </c>
      <c r="F363" t="s">
        <v>1031</v>
      </c>
      <c r="G363" t="s">
        <v>1035</v>
      </c>
      <c r="H363" t="s">
        <v>3</v>
      </c>
      <c r="I363" t="s">
        <v>1027</v>
      </c>
      <c r="J363" s="1">
        <v>46175</v>
      </c>
      <c r="K363" t="s">
        <v>1037</v>
      </c>
    </row>
    <row r="364" spans="1:11" x14ac:dyDescent="0.45">
      <c r="A364" t="s">
        <v>374</v>
      </c>
      <c r="B364" t="s">
        <v>1030</v>
      </c>
      <c r="C364">
        <v>46</v>
      </c>
      <c r="D364">
        <v>1</v>
      </c>
      <c r="E364" t="s">
        <v>1025</v>
      </c>
      <c r="F364" t="s">
        <v>1032</v>
      </c>
      <c r="G364" t="s">
        <v>1</v>
      </c>
      <c r="H364" t="s">
        <v>2</v>
      </c>
      <c r="I364" t="s">
        <v>1027</v>
      </c>
      <c r="J364" s="1">
        <v>46175</v>
      </c>
      <c r="K364" t="s">
        <v>1037</v>
      </c>
    </row>
    <row r="365" spans="1:11" x14ac:dyDescent="0.45">
      <c r="A365" t="s">
        <v>375</v>
      </c>
      <c r="B365" t="s">
        <v>1024</v>
      </c>
      <c r="C365">
        <v>14</v>
      </c>
      <c r="D365">
        <v>0</v>
      </c>
      <c r="E365" t="s">
        <v>1025</v>
      </c>
      <c r="F365" t="s">
        <v>1033</v>
      </c>
      <c r="G365" t="s">
        <v>1</v>
      </c>
      <c r="H365" t="s">
        <v>2</v>
      </c>
      <c r="I365" t="s">
        <v>1027</v>
      </c>
      <c r="J365" s="1">
        <v>46175</v>
      </c>
      <c r="K365" t="s">
        <v>1037</v>
      </c>
    </row>
    <row r="366" spans="1:11" x14ac:dyDescent="0.45">
      <c r="A366" t="s">
        <v>376</v>
      </c>
      <c r="B366" t="s">
        <v>1024</v>
      </c>
      <c r="C366">
        <v>10</v>
      </c>
      <c r="D366">
        <v>0</v>
      </c>
      <c r="E366" t="s">
        <v>1025</v>
      </c>
      <c r="F366" t="s">
        <v>1026</v>
      </c>
      <c r="G366" t="s">
        <v>1</v>
      </c>
      <c r="H366" t="s">
        <v>2</v>
      </c>
      <c r="I366" t="s">
        <v>1027</v>
      </c>
      <c r="J366" s="1">
        <v>46175</v>
      </c>
      <c r="K366" t="s">
        <v>1037</v>
      </c>
    </row>
    <row r="367" spans="1:11" x14ac:dyDescent="0.45">
      <c r="A367" t="s">
        <v>377</v>
      </c>
      <c r="B367" t="s">
        <v>1029</v>
      </c>
      <c r="C367">
        <v>53</v>
      </c>
      <c r="D367">
        <v>3</v>
      </c>
      <c r="E367" t="s">
        <v>1025</v>
      </c>
      <c r="F367" t="s">
        <v>1032</v>
      </c>
      <c r="G367" t="s">
        <v>1</v>
      </c>
      <c r="H367" t="s">
        <v>2</v>
      </c>
      <c r="I367" t="s">
        <v>1027</v>
      </c>
      <c r="J367" s="1">
        <v>46175</v>
      </c>
      <c r="K367" t="s">
        <v>1037</v>
      </c>
    </row>
    <row r="368" spans="1:11" x14ac:dyDescent="0.45">
      <c r="A368" t="s">
        <v>378</v>
      </c>
      <c r="B368" t="s">
        <v>1030</v>
      </c>
      <c r="C368">
        <v>34</v>
      </c>
      <c r="D368">
        <v>2</v>
      </c>
      <c r="E368" t="s">
        <v>1025</v>
      </c>
      <c r="F368" t="s">
        <v>1033</v>
      </c>
      <c r="G368" t="s">
        <v>1</v>
      </c>
      <c r="H368" t="s">
        <v>2</v>
      </c>
      <c r="I368" t="s">
        <v>1027</v>
      </c>
      <c r="J368" s="1">
        <v>46175</v>
      </c>
      <c r="K368" t="s">
        <v>1037</v>
      </c>
    </row>
    <row r="369" spans="1:11" x14ac:dyDescent="0.45">
      <c r="A369" t="s">
        <v>379</v>
      </c>
      <c r="B369" t="s">
        <v>1030</v>
      </c>
      <c r="C369">
        <v>41</v>
      </c>
      <c r="D369">
        <v>1</v>
      </c>
      <c r="E369" t="s">
        <v>1025</v>
      </c>
      <c r="F369" t="s">
        <v>1032</v>
      </c>
      <c r="G369" t="s">
        <v>1</v>
      </c>
      <c r="H369" t="s">
        <v>2</v>
      </c>
      <c r="I369" t="s">
        <v>1027</v>
      </c>
      <c r="J369" s="1">
        <v>46175</v>
      </c>
      <c r="K369" t="s">
        <v>1037</v>
      </c>
    </row>
    <row r="370" spans="1:11" x14ac:dyDescent="0.45">
      <c r="A370" t="s">
        <v>380</v>
      </c>
      <c r="B370" t="s">
        <v>1029</v>
      </c>
      <c r="C370">
        <v>61</v>
      </c>
      <c r="D370">
        <v>2</v>
      </c>
      <c r="E370" t="s">
        <v>1025</v>
      </c>
      <c r="F370" t="s">
        <v>1026</v>
      </c>
      <c r="G370" t="s">
        <v>1</v>
      </c>
      <c r="H370" t="s">
        <v>2</v>
      </c>
      <c r="I370" t="s">
        <v>1027</v>
      </c>
      <c r="J370" s="1">
        <v>46175</v>
      </c>
      <c r="K370" t="s">
        <v>1037</v>
      </c>
    </row>
    <row r="371" spans="1:11" x14ac:dyDescent="0.45">
      <c r="A371" t="s">
        <v>381</v>
      </c>
      <c r="B371" t="s">
        <v>1030</v>
      </c>
      <c r="C371">
        <v>37</v>
      </c>
      <c r="D371">
        <v>23</v>
      </c>
      <c r="E371" t="s">
        <v>1034</v>
      </c>
      <c r="F371" t="s">
        <v>1032</v>
      </c>
      <c r="G371" t="s">
        <v>1035</v>
      </c>
      <c r="H371" t="s">
        <v>3</v>
      </c>
      <c r="I371" t="s">
        <v>1027</v>
      </c>
      <c r="J371" s="1">
        <v>46175</v>
      </c>
      <c r="K371" t="s">
        <v>1037</v>
      </c>
    </row>
    <row r="372" spans="1:11" x14ac:dyDescent="0.45">
      <c r="A372" t="s">
        <v>382</v>
      </c>
      <c r="B372" t="s">
        <v>1029</v>
      </c>
      <c r="C372">
        <v>57</v>
      </c>
      <c r="D372">
        <v>0</v>
      </c>
      <c r="E372" t="s">
        <v>1025</v>
      </c>
      <c r="F372" t="s">
        <v>1033</v>
      </c>
      <c r="G372" t="s">
        <v>1</v>
      </c>
      <c r="H372" t="s">
        <v>2</v>
      </c>
      <c r="I372" t="s">
        <v>1027</v>
      </c>
      <c r="J372" s="1">
        <v>46175</v>
      </c>
      <c r="K372" t="s">
        <v>1037</v>
      </c>
    </row>
    <row r="373" spans="1:11" x14ac:dyDescent="0.45">
      <c r="A373" t="s">
        <v>383</v>
      </c>
      <c r="B373" t="s">
        <v>1024</v>
      </c>
      <c r="C373">
        <v>10</v>
      </c>
      <c r="D373">
        <v>3</v>
      </c>
      <c r="E373" t="s">
        <v>1025</v>
      </c>
      <c r="F373" t="s">
        <v>1032</v>
      </c>
      <c r="G373" t="s">
        <v>1</v>
      </c>
      <c r="H373" t="s">
        <v>2</v>
      </c>
      <c r="I373" t="s">
        <v>1027</v>
      </c>
      <c r="J373" s="1">
        <v>46175</v>
      </c>
      <c r="K373" t="s">
        <v>1037</v>
      </c>
    </row>
    <row r="374" spans="1:11" x14ac:dyDescent="0.45">
      <c r="A374" t="s">
        <v>384</v>
      </c>
      <c r="B374" t="s">
        <v>1030</v>
      </c>
      <c r="C374">
        <v>43</v>
      </c>
      <c r="D374">
        <v>13</v>
      </c>
      <c r="E374" t="s">
        <v>1036</v>
      </c>
      <c r="F374" t="s">
        <v>1026</v>
      </c>
      <c r="G374" t="s">
        <v>1035</v>
      </c>
      <c r="H374" t="s">
        <v>3</v>
      </c>
      <c r="I374" t="s">
        <v>1027</v>
      </c>
      <c r="J374" s="1">
        <v>46175</v>
      </c>
      <c r="K374" t="s">
        <v>1037</v>
      </c>
    </row>
    <row r="375" spans="1:11" x14ac:dyDescent="0.45">
      <c r="A375" t="s">
        <v>385</v>
      </c>
      <c r="B375" t="s">
        <v>1029</v>
      </c>
      <c r="C375">
        <v>46</v>
      </c>
      <c r="D375">
        <v>3</v>
      </c>
      <c r="E375" t="s">
        <v>1025</v>
      </c>
      <c r="F375" t="s">
        <v>1026</v>
      </c>
      <c r="G375" t="s">
        <v>1</v>
      </c>
      <c r="H375" t="s">
        <v>2</v>
      </c>
      <c r="I375" t="s">
        <v>1027</v>
      </c>
      <c r="J375" s="1">
        <v>46175</v>
      </c>
      <c r="K375" t="s">
        <v>1037</v>
      </c>
    </row>
    <row r="376" spans="1:11" x14ac:dyDescent="0.45">
      <c r="A376" t="s">
        <v>386</v>
      </c>
      <c r="B376" t="s">
        <v>1029</v>
      </c>
      <c r="C376">
        <v>63</v>
      </c>
      <c r="D376">
        <v>1</v>
      </c>
      <c r="E376" t="s">
        <v>1025</v>
      </c>
      <c r="F376" t="s">
        <v>1026</v>
      </c>
      <c r="G376" t="s">
        <v>1</v>
      </c>
      <c r="H376" t="s">
        <v>2</v>
      </c>
      <c r="I376" t="s">
        <v>1027</v>
      </c>
      <c r="J376" s="1">
        <v>46175</v>
      </c>
      <c r="K376" t="s">
        <v>1037</v>
      </c>
    </row>
    <row r="377" spans="1:11" x14ac:dyDescent="0.45">
      <c r="A377" t="s">
        <v>387</v>
      </c>
      <c r="B377" t="s">
        <v>1024</v>
      </c>
      <c r="C377">
        <v>17</v>
      </c>
      <c r="D377">
        <v>1</v>
      </c>
      <c r="E377" t="s">
        <v>1025</v>
      </c>
      <c r="F377" t="s">
        <v>1031</v>
      </c>
      <c r="G377" t="s">
        <v>1</v>
      </c>
      <c r="H377" t="s">
        <v>2</v>
      </c>
      <c r="I377" t="s">
        <v>1027</v>
      </c>
      <c r="J377" s="1">
        <v>46175</v>
      </c>
      <c r="K377" t="s">
        <v>1037</v>
      </c>
    </row>
    <row r="378" spans="1:11" x14ac:dyDescent="0.45">
      <c r="A378" t="s">
        <v>388</v>
      </c>
      <c r="B378" t="s">
        <v>1029</v>
      </c>
      <c r="C378">
        <v>49</v>
      </c>
      <c r="D378">
        <v>2</v>
      </c>
      <c r="E378" t="s">
        <v>1025</v>
      </c>
      <c r="F378" t="s">
        <v>1032</v>
      </c>
      <c r="G378" t="s">
        <v>1</v>
      </c>
      <c r="H378" t="s">
        <v>2</v>
      </c>
      <c r="I378" t="s">
        <v>1027</v>
      </c>
      <c r="J378" s="1">
        <v>46175</v>
      </c>
      <c r="K378" t="s">
        <v>1037</v>
      </c>
    </row>
    <row r="379" spans="1:11" x14ac:dyDescent="0.45">
      <c r="A379" t="s">
        <v>389</v>
      </c>
      <c r="B379" t="s">
        <v>1024</v>
      </c>
      <c r="C379">
        <v>13</v>
      </c>
      <c r="D379">
        <v>1</v>
      </c>
      <c r="E379" t="s">
        <v>1025</v>
      </c>
      <c r="F379" t="s">
        <v>1031</v>
      </c>
      <c r="G379" t="s">
        <v>1</v>
      </c>
      <c r="H379" t="s">
        <v>2</v>
      </c>
      <c r="I379" t="s">
        <v>1027</v>
      </c>
      <c r="J379" s="1">
        <v>46175</v>
      </c>
      <c r="K379" t="s">
        <v>1037</v>
      </c>
    </row>
    <row r="380" spans="1:11" x14ac:dyDescent="0.45">
      <c r="A380" t="s">
        <v>390</v>
      </c>
      <c r="B380" t="s">
        <v>1029</v>
      </c>
      <c r="C380">
        <v>61</v>
      </c>
      <c r="D380">
        <v>32</v>
      </c>
      <c r="E380" t="s">
        <v>1034</v>
      </c>
      <c r="F380" t="s">
        <v>1031</v>
      </c>
      <c r="G380" t="s">
        <v>1035</v>
      </c>
      <c r="H380" t="s">
        <v>3</v>
      </c>
      <c r="I380" t="s">
        <v>1027</v>
      </c>
      <c r="J380" s="1">
        <v>46175</v>
      </c>
      <c r="K380" t="s">
        <v>1037</v>
      </c>
    </row>
    <row r="381" spans="1:11" x14ac:dyDescent="0.45">
      <c r="A381" t="s">
        <v>391</v>
      </c>
      <c r="B381" t="s">
        <v>1029</v>
      </c>
      <c r="C381">
        <v>58</v>
      </c>
      <c r="D381">
        <v>1</v>
      </c>
      <c r="E381" t="s">
        <v>1025</v>
      </c>
      <c r="F381" t="s">
        <v>1033</v>
      </c>
      <c r="G381" t="s">
        <v>1</v>
      </c>
      <c r="H381" t="s">
        <v>2</v>
      </c>
      <c r="I381" t="s">
        <v>1027</v>
      </c>
      <c r="J381" s="1">
        <v>46175</v>
      </c>
      <c r="K381" t="s">
        <v>1037</v>
      </c>
    </row>
    <row r="382" spans="1:11" x14ac:dyDescent="0.45">
      <c r="A382" t="s">
        <v>392</v>
      </c>
      <c r="B382" t="s">
        <v>1029</v>
      </c>
      <c r="C382">
        <v>59</v>
      </c>
      <c r="D382">
        <v>0</v>
      </c>
      <c r="E382" t="s">
        <v>1025</v>
      </c>
      <c r="F382" t="s">
        <v>1026</v>
      </c>
      <c r="G382" t="s">
        <v>1</v>
      </c>
      <c r="H382" t="s">
        <v>2</v>
      </c>
      <c r="I382" t="s">
        <v>1027</v>
      </c>
      <c r="J382" s="1">
        <v>46175</v>
      </c>
      <c r="K382" t="s">
        <v>1037</v>
      </c>
    </row>
    <row r="383" spans="1:11" x14ac:dyDescent="0.45">
      <c r="A383" t="s">
        <v>393</v>
      </c>
      <c r="B383" t="s">
        <v>1024</v>
      </c>
      <c r="C383">
        <v>17</v>
      </c>
      <c r="D383">
        <v>0</v>
      </c>
      <c r="E383" t="s">
        <v>1025</v>
      </c>
      <c r="F383" t="s">
        <v>1033</v>
      </c>
      <c r="G383" t="s">
        <v>1</v>
      </c>
      <c r="H383" t="s">
        <v>2</v>
      </c>
      <c r="I383" t="s">
        <v>1027</v>
      </c>
      <c r="J383" s="1">
        <v>46175</v>
      </c>
      <c r="K383" t="s">
        <v>1037</v>
      </c>
    </row>
    <row r="384" spans="1:11" x14ac:dyDescent="0.45">
      <c r="A384" t="s">
        <v>394</v>
      </c>
      <c r="B384" t="s">
        <v>1024</v>
      </c>
      <c r="C384">
        <v>22</v>
      </c>
      <c r="D384">
        <v>0</v>
      </c>
      <c r="E384" t="s">
        <v>1025</v>
      </c>
      <c r="F384" t="s">
        <v>1032</v>
      </c>
      <c r="G384" t="s">
        <v>1</v>
      </c>
      <c r="H384" t="s">
        <v>2</v>
      </c>
      <c r="I384" t="s">
        <v>1027</v>
      </c>
      <c r="J384" s="1">
        <v>46175</v>
      </c>
      <c r="K384" t="s">
        <v>1037</v>
      </c>
    </row>
    <row r="385" spans="1:11" x14ac:dyDescent="0.45">
      <c r="A385" t="s">
        <v>395</v>
      </c>
      <c r="B385" t="s">
        <v>1024</v>
      </c>
      <c r="C385">
        <v>18</v>
      </c>
      <c r="D385">
        <v>32</v>
      </c>
      <c r="E385" t="s">
        <v>1034</v>
      </c>
      <c r="F385" t="s">
        <v>1031</v>
      </c>
      <c r="G385" t="s">
        <v>1035</v>
      </c>
      <c r="H385" t="s">
        <v>3</v>
      </c>
      <c r="I385" t="s">
        <v>1027</v>
      </c>
      <c r="J385" s="1">
        <v>46175</v>
      </c>
      <c r="K385" t="s">
        <v>1037</v>
      </c>
    </row>
    <row r="386" spans="1:11" x14ac:dyDescent="0.45">
      <c r="A386" t="s">
        <v>396</v>
      </c>
      <c r="B386" t="s">
        <v>1024</v>
      </c>
      <c r="C386">
        <v>12</v>
      </c>
      <c r="D386">
        <v>2</v>
      </c>
      <c r="E386" t="s">
        <v>1025</v>
      </c>
      <c r="F386" t="s">
        <v>1033</v>
      </c>
      <c r="G386" t="s">
        <v>1</v>
      </c>
      <c r="H386" t="s">
        <v>2</v>
      </c>
      <c r="I386" t="s">
        <v>1027</v>
      </c>
      <c r="J386" s="1">
        <v>46175</v>
      </c>
      <c r="K386" t="s">
        <v>1037</v>
      </c>
    </row>
    <row r="387" spans="1:11" x14ac:dyDescent="0.45">
      <c r="A387" t="s">
        <v>397</v>
      </c>
      <c r="B387" t="s">
        <v>1024</v>
      </c>
      <c r="C387">
        <v>16</v>
      </c>
      <c r="D387">
        <v>1</v>
      </c>
      <c r="E387" t="s">
        <v>1025</v>
      </c>
      <c r="F387" t="s">
        <v>1026</v>
      </c>
      <c r="G387" t="s">
        <v>1</v>
      </c>
      <c r="H387" t="s">
        <v>2</v>
      </c>
      <c r="I387" t="s">
        <v>1027</v>
      </c>
      <c r="J387" s="1">
        <v>46175</v>
      </c>
      <c r="K387" t="s">
        <v>1037</v>
      </c>
    </row>
    <row r="388" spans="1:11" x14ac:dyDescent="0.45">
      <c r="A388" t="s">
        <v>398</v>
      </c>
      <c r="B388" t="s">
        <v>1030</v>
      </c>
      <c r="C388">
        <v>38</v>
      </c>
      <c r="D388">
        <v>1</v>
      </c>
      <c r="E388" t="s">
        <v>1025</v>
      </c>
      <c r="F388" t="s">
        <v>1026</v>
      </c>
      <c r="G388" t="s">
        <v>1</v>
      </c>
      <c r="H388" t="s">
        <v>2</v>
      </c>
      <c r="I388" t="s">
        <v>1027</v>
      </c>
      <c r="J388" s="1">
        <v>46175</v>
      </c>
      <c r="K388" t="s">
        <v>1037</v>
      </c>
    </row>
    <row r="389" spans="1:11" x14ac:dyDescent="0.45">
      <c r="A389" t="s">
        <v>399</v>
      </c>
      <c r="B389" t="s">
        <v>1024</v>
      </c>
      <c r="C389">
        <v>17</v>
      </c>
      <c r="D389">
        <v>3</v>
      </c>
      <c r="E389" t="s">
        <v>1025</v>
      </c>
      <c r="F389" t="s">
        <v>1032</v>
      </c>
      <c r="G389" t="s">
        <v>1</v>
      </c>
      <c r="H389" t="s">
        <v>2</v>
      </c>
      <c r="I389" t="s">
        <v>1027</v>
      </c>
      <c r="J389" s="1">
        <v>46175</v>
      </c>
      <c r="K389" t="s">
        <v>1037</v>
      </c>
    </row>
    <row r="390" spans="1:11" x14ac:dyDescent="0.45">
      <c r="A390" t="s">
        <v>400</v>
      </c>
      <c r="B390" t="s">
        <v>1029</v>
      </c>
      <c r="C390">
        <v>57</v>
      </c>
      <c r="D390">
        <v>1</v>
      </c>
      <c r="E390" t="s">
        <v>1025</v>
      </c>
      <c r="F390" t="s">
        <v>1033</v>
      </c>
      <c r="G390" t="s">
        <v>1</v>
      </c>
      <c r="H390" t="s">
        <v>2</v>
      </c>
      <c r="I390" t="s">
        <v>1027</v>
      </c>
      <c r="J390" s="1">
        <v>46175</v>
      </c>
      <c r="K390" t="s">
        <v>1037</v>
      </c>
    </row>
    <row r="391" spans="1:11" x14ac:dyDescent="0.45">
      <c r="A391" t="s">
        <v>401</v>
      </c>
      <c r="B391" t="s">
        <v>1024</v>
      </c>
      <c r="C391">
        <v>15</v>
      </c>
      <c r="D391">
        <v>1</v>
      </c>
      <c r="E391" t="s">
        <v>1025</v>
      </c>
      <c r="F391" t="s">
        <v>1033</v>
      </c>
      <c r="G391" t="s">
        <v>1</v>
      </c>
      <c r="H391" t="s">
        <v>2</v>
      </c>
      <c r="I391" t="s">
        <v>1027</v>
      </c>
      <c r="J391" s="1">
        <v>46175</v>
      </c>
      <c r="K391" t="s">
        <v>1037</v>
      </c>
    </row>
    <row r="392" spans="1:11" x14ac:dyDescent="0.45">
      <c r="A392" t="s">
        <v>402</v>
      </c>
      <c r="B392" t="s">
        <v>1030</v>
      </c>
      <c r="C392">
        <v>33</v>
      </c>
      <c r="D392">
        <v>2</v>
      </c>
      <c r="E392" t="s">
        <v>1025</v>
      </c>
      <c r="F392" t="s">
        <v>1026</v>
      </c>
      <c r="G392" t="s">
        <v>1</v>
      </c>
      <c r="H392" t="s">
        <v>2</v>
      </c>
      <c r="I392" t="s">
        <v>1027</v>
      </c>
      <c r="J392" s="1">
        <v>46175</v>
      </c>
      <c r="K392" t="s">
        <v>1037</v>
      </c>
    </row>
    <row r="393" spans="1:11" x14ac:dyDescent="0.45">
      <c r="A393" t="s">
        <v>403</v>
      </c>
      <c r="B393" t="s">
        <v>1029</v>
      </c>
      <c r="C393">
        <v>57</v>
      </c>
      <c r="D393">
        <v>0</v>
      </c>
      <c r="E393" t="s">
        <v>1025</v>
      </c>
      <c r="F393" t="s">
        <v>1032</v>
      </c>
      <c r="G393" t="s">
        <v>1</v>
      </c>
      <c r="H393" t="s">
        <v>2</v>
      </c>
      <c r="I393" t="s">
        <v>1027</v>
      </c>
      <c r="J393" s="1">
        <v>46175</v>
      </c>
      <c r="K393" t="s">
        <v>1037</v>
      </c>
    </row>
    <row r="394" spans="1:11" x14ac:dyDescent="0.45">
      <c r="A394" t="s">
        <v>404</v>
      </c>
      <c r="B394" t="s">
        <v>1024</v>
      </c>
      <c r="C394">
        <v>15</v>
      </c>
      <c r="D394">
        <v>0</v>
      </c>
      <c r="E394" t="s">
        <v>1025</v>
      </c>
      <c r="F394" t="s">
        <v>1031</v>
      </c>
      <c r="G394" t="s">
        <v>1</v>
      </c>
      <c r="H394" t="s">
        <v>2</v>
      </c>
      <c r="I394" t="s">
        <v>1027</v>
      </c>
      <c r="J394" s="1">
        <v>46175</v>
      </c>
      <c r="K394" t="s">
        <v>1037</v>
      </c>
    </row>
    <row r="395" spans="1:11" x14ac:dyDescent="0.45">
      <c r="A395" t="s">
        <v>405</v>
      </c>
      <c r="B395" t="s">
        <v>1029</v>
      </c>
      <c r="C395">
        <v>57</v>
      </c>
      <c r="D395">
        <v>2</v>
      </c>
      <c r="E395" t="s">
        <v>1025</v>
      </c>
      <c r="F395" t="s">
        <v>1031</v>
      </c>
      <c r="G395" t="s">
        <v>1</v>
      </c>
      <c r="H395" t="s">
        <v>2</v>
      </c>
      <c r="I395" t="s">
        <v>1027</v>
      </c>
      <c r="J395" s="1">
        <v>46175</v>
      </c>
      <c r="K395" t="s">
        <v>1037</v>
      </c>
    </row>
    <row r="396" spans="1:11" x14ac:dyDescent="0.45">
      <c r="A396" t="s">
        <v>406</v>
      </c>
      <c r="B396" t="s">
        <v>1024</v>
      </c>
      <c r="C396">
        <v>14</v>
      </c>
      <c r="D396">
        <v>3</v>
      </c>
      <c r="E396" t="s">
        <v>1025</v>
      </c>
      <c r="F396" t="s">
        <v>1026</v>
      </c>
      <c r="G396" t="s">
        <v>1</v>
      </c>
      <c r="H396" t="s">
        <v>2</v>
      </c>
      <c r="I396" t="s">
        <v>1027</v>
      </c>
      <c r="J396" s="1">
        <v>46175</v>
      </c>
      <c r="K396" t="s">
        <v>1037</v>
      </c>
    </row>
    <row r="397" spans="1:11" x14ac:dyDescent="0.45">
      <c r="A397" t="s">
        <v>407</v>
      </c>
      <c r="B397" t="s">
        <v>1024</v>
      </c>
      <c r="C397">
        <v>18</v>
      </c>
      <c r="D397">
        <v>0</v>
      </c>
      <c r="E397" t="s">
        <v>1025</v>
      </c>
      <c r="F397" t="s">
        <v>1032</v>
      </c>
      <c r="G397" t="s">
        <v>1</v>
      </c>
      <c r="H397" t="s">
        <v>2</v>
      </c>
      <c r="I397" t="s">
        <v>1027</v>
      </c>
      <c r="J397" s="1">
        <v>46175</v>
      </c>
      <c r="K397" t="s">
        <v>1037</v>
      </c>
    </row>
    <row r="398" spans="1:11" x14ac:dyDescent="0.45">
      <c r="A398" t="s">
        <v>408</v>
      </c>
      <c r="B398" t="s">
        <v>1024</v>
      </c>
      <c r="C398">
        <v>21</v>
      </c>
      <c r="D398">
        <v>0</v>
      </c>
      <c r="E398" t="s">
        <v>1025</v>
      </c>
      <c r="F398" t="s">
        <v>1033</v>
      </c>
      <c r="G398" t="s">
        <v>1</v>
      </c>
      <c r="H398" t="s">
        <v>2</v>
      </c>
      <c r="I398" t="s">
        <v>1027</v>
      </c>
      <c r="J398" s="1">
        <v>46175</v>
      </c>
      <c r="K398" t="s">
        <v>1037</v>
      </c>
    </row>
    <row r="399" spans="1:11" x14ac:dyDescent="0.45">
      <c r="A399" t="s">
        <v>409</v>
      </c>
      <c r="B399" t="s">
        <v>1029</v>
      </c>
      <c r="C399">
        <v>45</v>
      </c>
      <c r="D399">
        <v>3</v>
      </c>
      <c r="E399" t="s">
        <v>1025</v>
      </c>
      <c r="F399" t="s">
        <v>1026</v>
      </c>
      <c r="G399" t="s">
        <v>1</v>
      </c>
      <c r="H399" t="s">
        <v>2</v>
      </c>
      <c r="I399" t="s">
        <v>1027</v>
      </c>
      <c r="J399" s="1">
        <v>46175</v>
      </c>
      <c r="K399" t="s">
        <v>1037</v>
      </c>
    </row>
    <row r="400" spans="1:11" x14ac:dyDescent="0.45">
      <c r="A400" t="s">
        <v>410</v>
      </c>
      <c r="B400" t="s">
        <v>1024</v>
      </c>
      <c r="C400">
        <v>18</v>
      </c>
      <c r="D400">
        <v>1</v>
      </c>
      <c r="E400" t="s">
        <v>1025</v>
      </c>
      <c r="F400" t="s">
        <v>1026</v>
      </c>
      <c r="G400" t="s">
        <v>1</v>
      </c>
      <c r="H400" t="s">
        <v>2</v>
      </c>
      <c r="I400" t="s">
        <v>1027</v>
      </c>
      <c r="J400" s="1">
        <v>46175</v>
      </c>
      <c r="K400" t="s">
        <v>1037</v>
      </c>
    </row>
    <row r="401" spans="1:11" x14ac:dyDescent="0.45">
      <c r="A401" t="s">
        <v>411</v>
      </c>
      <c r="B401" t="s">
        <v>1024</v>
      </c>
      <c r="C401">
        <v>16</v>
      </c>
      <c r="D401">
        <v>1</v>
      </c>
      <c r="E401" t="s">
        <v>1025</v>
      </c>
      <c r="F401" t="s">
        <v>1032</v>
      </c>
      <c r="G401" t="s">
        <v>1</v>
      </c>
      <c r="H401" t="s">
        <v>2</v>
      </c>
      <c r="I401" t="s">
        <v>1027</v>
      </c>
      <c r="J401" s="1">
        <v>46175</v>
      </c>
      <c r="K401" t="s">
        <v>1037</v>
      </c>
    </row>
    <row r="402" spans="1:11" x14ac:dyDescent="0.45">
      <c r="A402" t="s">
        <v>412</v>
      </c>
      <c r="B402" t="s">
        <v>1024</v>
      </c>
      <c r="C402">
        <v>24</v>
      </c>
      <c r="D402">
        <v>2</v>
      </c>
      <c r="E402" t="s">
        <v>1025</v>
      </c>
      <c r="F402" t="s">
        <v>1026</v>
      </c>
      <c r="G402" t="s">
        <v>1</v>
      </c>
      <c r="H402" t="s">
        <v>2</v>
      </c>
      <c r="I402" t="s">
        <v>1027</v>
      </c>
      <c r="J402" s="1">
        <v>46175</v>
      </c>
      <c r="K402" t="s">
        <v>1037</v>
      </c>
    </row>
    <row r="403" spans="1:11" x14ac:dyDescent="0.45">
      <c r="A403" t="s">
        <v>413</v>
      </c>
      <c r="B403" t="s">
        <v>1029</v>
      </c>
      <c r="C403">
        <v>55</v>
      </c>
      <c r="D403">
        <v>1</v>
      </c>
      <c r="E403" t="s">
        <v>1025</v>
      </c>
      <c r="F403" t="s">
        <v>1031</v>
      </c>
      <c r="G403" t="s">
        <v>1</v>
      </c>
      <c r="H403" t="s">
        <v>2</v>
      </c>
      <c r="I403" t="s">
        <v>1027</v>
      </c>
      <c r="J403" s="1">
        <v>46175</v>
      </c>
      <c r="K403" t="s">
        <v>1037</v>
      </c>
    </row>
    <row r="404" spans="1:11" x14ac:dyDescent="0.45">
      <c r="A404" t="s">
        <v>414</v>
      </c>
      <c r="B404" t="s">
        <v>1024</v>
      </c>
      <c r="C404">
        <v>12</v>
      </c>
      <c r="D404">
        <v>0</v>
      </c>
      <c r="E404" t="s">
        <v>1025</v>
      </c>
      <c r="F404" t="s">
        <v>1031</v>
      </c>
      <c r="G404" t="s">
        <v>1</v>
      </c>
      <c r="H404" t="s">
        <v>2</v>
      </c>
      <c r="I404" t="s">
        <v>1027</v>
      </c>
      <c r="J404" s="1">
        <v>46176</v>
      </c>
      <c r="K404" t="s">
        <v>1038</v>
      </c>
    </row>
    <row r="405" spans="1:11" x14ac:dyDescent="0.45">
      <c r="A405" t="s">
        <v>415</v>
      </c>
      <c r="B405" t="s">
        <v>1024</v>
      </c>
      <c r="C405">
        <v>12</v>
      </c>
      <c r="D405">
        <v>19</v>
      </c>
      <c r="E405" t="s">
        <v>1034</v>
      </c>
      <c r="F405" t="s">
        <v>1026</v>
      </c>
      <c r="G405" t="s">
        <v>1035</v>
      </c>
      <c r="H405" t="s">
        <v>3</v>
      </c>
      <c r="I405" t="s">
        <v>1027</v>
      </c>
      <c r="J405" s="1">
        <v>46176</v>
      </c>
      <c r="K405" t="s">
        <v>1038</v>
      </c>
    </row>
    <row r="406" spans="1:11" x14ac:dyDescent="0.45">
      <c r="A406" t="s">
        <v>416</v>
      </c>
      <c r="B406" t="s">
        <v>1029</v>
      </c>
      <c r="C406">
        <v>50</v>
      </c>
      <c r="D406">
        <v>5</v>
      </c>
      <c r="E406" t="s">
        <v>1025</v>
      </c>
      <c r="F406" t="s">
        <v>1026</v>
      </c>
      <c r="G406" t="s">
        <v>1</v>
      </c>
      <c r="H406" t="s">
        <v>2</v>
      </c>
      <c r="I406" t="s">
        <v>1027</v>
      </c>
      <c r="J406" s="1">
        <v>46176</v>
      </c>
      <c r="K406" t="s">
        <v>1038</v>
      </c>
    </row>
    <row r="407" spans="1:11" x14ac:dyDescent="0.45">
      <c r="A407" t="s">
        <v>417</v>
      </c>
      <c r="B407" t="s">
        <v>1029</v>
      </c>
      <c r="C407">
        <v>62</v>
      </c>
      <c r="D407">
        <v>0</v>
      </c>
      <c r="E407" t="s">
        <v>1025</v>
      </c>
      <c r="F407" t="s">
        <v>1031</v>
      </c>
      <c r="G407" t="s">
        <v>1</v>
      </c>
      <c r="H407" t="s">
        <v>2</v>
      </c>
      <c r="I407" t="s">
        <v>1027</v>
      </c>
      <c r="J407" s="1">
        <v>46176</v>
      </c>
      <c r="K407" t="s">
        <v>1038</v>
      </c>
    </row>
    <row r="408" spans="1:11" x14ac:dyDescent="0.45">
      <c r="A408" t="s">
        <v>418</v>
      </c>
      <c r="B408" t="s">
        <v>1030</v>
      </c>
      <c r="C408">
        <v>41</v>
      </c>
      <c r="D408">
        <v>0</v>
      </c>
      <c r="E408" t="s">
        <v>1025</v>
      </c>
      <c r="F408" t="s">
        <v>1031</v>
      </c>
      <c r="G408" t="s">
        <v>1</v>
      </c>
      <c r="H408" t="s">
        <v>2</v>
      </c>
      <c r="I408" t="s">
        <v>1027</v>
      </c>
      <c r="J408" s="1">
        <v>46176</v>
      </c>
      <c r="K408" t="s">
        <v>1038</v>
      </c>
    </row>
    <row r="409" spans="1:11" x14ac:dyDescent="0.45">
      <c r="A409" t="s">
        <v>419</v>
      </c>
      <c r="B409" t="s">
        <v>1029</v>
      </c>
      <c r="C409">
        <v>57</v>
      </c>
      <c r="D409">
        <v>0</v>
      </c>
      <c r="E409" t="s">
        <v>1025</v>
      </c>
      <c r="F409" t="s">
        <v>1033</v>
      </c>
      <c r="G409" t="s">
        <v>1</v>
      </c>
      <c r="H409" t="s">
        <v>2</v>
      </c>
      <c r="I409" t="s">
        <v>1027</v>
      </c>
      <c r="J409" s="1">
        <v>46176</v>
      </c>
      <c r="K409" t="s">
        <v>1038</v>
      </c>
    </row>
    <row r="410" spans="1:11" x14ac:dyDescent="0.45">
      <c r="A410" t="s">
        <v>420</v>
      </c>
      <c r="B410" t="s">
        <v>1030</v>
      </c>
      <c r="C410">
        <v>37</v>
      </c>
      <c r="D410">
        <v>13</v>
      </c>
      <c r="E410" t="s">
        <v>1036</v>
      </c>
      <c r="F410" t="s">
        <v>1031</v>
      </c>
      <c r="G410" t="s">
        <v>1035</v>
      </c>
      <c r="H410" t="s">
        <v>3</v>
      </c>
      <c r="I410" t="s">
        <v>1027</v>
      </c>
      <c r="J410" s="1">
        <v>46176</v>
      </c>
      <c r="K410" t="s">
        <v>1038</v>
      </c>
    </row>
    <row r="411" spans="1:11" x14ac:dyDescent="0.45">
      <c r="A411" t="s">
        <v>421</v>
      </c>
      <c r="B411" t="s">
        <v>1029</v>
      </c>
      <c r="C411">
        <v>46</v>
      </c>
      <c r="D411">
        <v>2</v>
      </c>
      <c r="E411" t="s">
        <v>1025</v>
      </c>
      <c r="F411" t="s">
        <v>1031</v>
      </c>
      <c r="G411" t="s">
        <v>1</v>
      </c>
      <c r="H411" t="s">
        <v>2</v>
      </c>
      <c r="I411" t="s">
        <v>1027</v>
      </c>
      <c r="J411" s="1">
        <v>46176</v>
      </c>
      <c r="K411" t="s">
        <v>1038</v>
      </c>
    </row>
    <row r="412" spans="1:11" x14ac:dyDescent="0.45">
      <c r="A412" t="s">
        <v>422</v>
      </c>
      <c r="B412" t="s">
        <v>1024</v>
      </c>
      <c r="C412">
        <v>25</v>
      </c>
      <c r="D412">
        <v>2</v>
      </c>
      <c r="E412" t="s">
        <v>1025</v>
      </c>
      <c r="F412" t="s">
        <v>1032</v>
      </c>
      <c r="G412" t="s">
        <v>1</v>
      </c>
      <c r="H412" t="s">
        <v>2</v>
      </c>
      <c r="I412" t="s">
        <v>1027</v>
      </c>
      <c r="J412" s="1">
        <v>46176</v>
      </c>
      <c r="K412" t="s">
        <v>1038</v>
      </c>
    </row>
    <row r="413" spans="1:11" x14ac:dyDescent="0.45">
      <c r="A413" t="s">
        <v>423</v>
      </c>
      <c r="B413" t="s">
        <v>1029</v>
      </c>
      <c r="C413">
        <v>53</v>
      </c>
      <c r="D413">
        <v>2</v>
      </c>
      <c r="E413" t="s">
        <v>1025</v>
      </c>
      <c r="F413" t="s">
        <v>1033</v>
      </c>
      <c r="G413" t="s">
        <v>1</v>
      </c>
      <c r="H413" t="s">
        <v>2</v>
      </c>
      <c r="I413" t="s">
        <v>1027</v>
      </c>
      <c r="J413" s="1">
        <v>46176</v>
      </c>
      <c r="K413" t="s">
        <v>1038</v>
      </c>
    </row>
    <row r="414" spans="1:11" x14ac:dyDescent="0.45">
      <c r="A414" t="s">
        <v>424</v>
      </c>
      <c r="B414" t="s">
        <v>1030</v>
      </c>
      <c r="C414">
        <v>42</v>
      </c>
      <c r="D414">
        <v>4</v>
      </c>
      <c r="E414" t="s">
        <v>1025</v>
      </c>
      <c r="F414" t="s">
        <v>1033</v>
      </c>
      <c r="G414" t="s">
        <v>1</v>
      </c>
      <c r="H414" t="s">
        <v>2</v>
      </c>
      <c r="I414" t="s">
        <v>1027</v>
      </c>
      <c r="J414" s="1">
        <v>46176</v>
      </c>
      <c r="K414" t="s">
        <v>1038</v>
      </c>
    </row>
    <row r="415" spans="1:11" x14ac:dyDescent="0.45">
      <c r="A415" t="s">
        <v>425</v>
      </c>
      <c r="B415" t="s">
        <v>1030</v>
      </c>
      <c r="C415">
        <v>47</v>
      </c>
      <c r="D415">
        <v>3</v>
      </c>
      <c r="E415" t="s">
        <v>1025</v>
      </c>
      <c r="F415" t="s">
        <v>1031</v>
      </c>
      <c r="G415" t="s">
        <v>1</v>
      </c>
      <c r="H415" t="s">
        <v>2</v>
      </c>
      <c r="I415" t="s">
        <v>1027</v>
      </c>
      <c r="J415" s="1">
        <v>46176</v>
      </c>
      <c r="K415" t="s">
        <v>1038</v>
      </c>
    </row>
    <row r="416" spans="1:11" x14ac:dyDescent="0.45">
      <c r="A416" t="s">
        <v>426</v>
      </c>
      <c r="B416" t="s">
        <v>1030</v>
      </c>
      <c r="C416">
        <v>32</v>
      </c>
      <c r="D416">
        <v>1</v>
      </c>
      <c r="E416" t="s">
        <v>1025</v>
      </c>
      <c r="F416" t="s">
        <v>1033</v>
      </c>
      <c r="G416" t="s">
        <v>1</v>
      </c>
      <c r="H416" t="s">
        <v>2</v>
      </c>
      <c r="I416" t="s">
        <v>1027</v>
      </c>
      <c r="J416" s="1">
        <v>46176</v>
      </c>
      <c r="K416" t="s">
        <v>1038</v>
      </c>
    </row>
    <row r="417" spans="1:11" x14ac:dyDescent="0.45">
      <c r="A417" t="s">
        <v>427</v>
      </c>
      <c r="B417" t="s">
        <v>1024</v>
      </c>
      <c r="C417">
        <v>24</v>
      </c>
      <c r="D417">
        <v>4</v>
      </c>
      <c r="E417" t="s">
        <v>1025</v>
      </c>
      <c r="F417" t="s">
        <v>1026</v>
      </c>
      <c r="G417" t="s">
        <v>1</v>
      </c>
      <c r="H417" t="s">
        <v>2</v>
      </c>
      <c r="I417" t="s">
        <v>1027</v>
      </c>
      <c r="J417" s="1">
        <v>46176</v>
      </c>
      <c r="K417" t="s">
        <v>1038</v>
      </c>
    </row>
    <row r="418" spans="1:11" x14ac:dyDescent="0.45">
      <c r="A418" t="s">
        <v>428</v>
      </c>
      <c r="B418" t="s">
        <v>1030</v>
      </c>
      <c r="C418">
        <v>39</v>
      </c>
      <c r="D418">
        <v>0</v>
      </c>
      <c r="E418" t="s">
        <v>1025</v>
      </c>
      <c r="F418" t="s">
        <v>1033</v>
      </c>
      <c r="G418" t="s">
        <v>1</v>
      </c>
      <c r="H418" t="s">
        <v>2</v>
      </c>
      <c r="I418" t="s">
        <v>1027</v>
      </c>
      <c r="J418" s="1">
        <v>46176</v>
      </c>
      <c r="K418" t="s">
        <v>1038</v>
      </c>
    </row>
    <row r="419" spans="1:11" x14ac:dyDescent="0.45">
      <c r="A419" t="s">
        <v>429</v>
      </c>
      <c r="B419" t="s">
        <v>1024</v>
      </c>
      <c r="C419">
        <v>17</v>
      </c>
      <c r="D419">
        <v>1</v>
      </c>
      <c r="E419" t="s">
        <v>1025</v>
      </c>
      <c r="F419" t="s">
        <v>1026</v>
      </c>
      <c r="G419" t="s">
        <v>1</v>
      </c>
      <c r="H419" t="s">
        <v>2</v>
      </c>
      <c r="I419" t="s">
        <v>1027</v>
      </c>
      <c r="J419" s="1">
        <v>46176</v>
      </c>
      <c r="K419" t="s">
        <v>1038</v>
      </c>
    </row>
    <row r="420" spans="1:11" x14ac:dyDescent="0.45">
      <c r="A420" t="s">
        <v>430</v>
      </c>
      <c r="B420" t="s">
        <v>1030</v>
      </c>
      <c r="C420">
        <v>43</v>
      </c>
      <c r="D420">
        <v>35</v>
      </c>
      <c r="E420" t="s">
        <v>1034</v>
      </c>
      <c r="F420" t="s">
        <v>1026</v>
      </c>
      <c r="G420" t="s">
        <v>1035</v>
      </c>
      <c r="H420" t="s">
        <v>3</v>
      </c>
      <c r="I420" t="s">
        <v>1027</v>
      </c>
      <c r="J420" s="1">
        <v>46176</v>
      </c>
      <c r="K420" t="s">
        <v>1038</v>
      </c>
    </row>
    <row r="421" spans="1:11" x14ac:dyDescent="0.45">
      <c r="A421" t="s">
        <v>431</v>
      </c>
      <c r="B421" t="s">
        <v>1024</v>
      </c>
      <c r="C421">
        <v>18</v>
      </c>
      <c r="D421">
        <v>0</v>
      </c>
      <c r="E421" t="s">
        <v>1025</v>
      </c>
      <c r="F421" t="s">
        <v>1033</v>
      </c>
      <c r="G421" t="s">
        <v>1</v>
      </c>
      <c r="H421" t="s">
        <v>2</v>
      </c>
      <c r="I421" t="s">
        <v>1027</v>
      </c>
      <c r="J421" s="1">
        <v>46176</v>
      </c>
      <c r="K421" t="s">
        <v>1038</v>
      </c>
    </row>
    <row r="422" spans="1:11" x14ac:dyDescent="0.45">
      <c r="A422" t="s">
        <v>432</v>
      </c>
      <c r="B422" t="s">
        <v>1029</v>
      </c>
      <c r="C422">
        <v>56</v>
      </c>
      <c r="D422">
        <v>3</v>
      </c>
      <c r="E422" t="s">
        <v>1025</v>
      </c>
      <c r="F422" t="s">
        <v>1026</v>
      </c>
      <c r="G422" t="s">
        <v>1</v>
      </c>
      <c r="H422" t="s">
        <v>2</v>
      </c>
      <c r="I422" t="s">
        <v>1027</v>
      </c>
      <c r="J422" s="1">
        <v>46176</v>
      </c>
      <c r="K422" t="s">
        <v>1038</v>
      </c>
    </row>
    <row r="423" spans="1:11" x14ac:dyDescent="0.45">
      <c r="A423" t="s">
        <v>433</v>
      </c>
      <c r="B423" t="s">
        <v>1029</v>
      </c>
      <c r="C423">
        <v>48</v>
      </c>
      <c r="D423">
        <v>2</v>
      </c>
      <c r="E423" t="s">
        <v>1025</v>
      </c>
      <c r="F423" t="s">
        <v>1033</v>
      </c>
      <c r="G423" t="s">
        <v>1</v>
      </c>
      <c r="H423" t="s">
        <v>2</v>
      </c>
      <c r="I423" t="s">
        <v>1027</v>
      </c>
      <c r="J423" s="1">
        <v>46176</v>
      </c>
      <c r="K423" t="s">
        <v>1038</v>
      </c>
    </row>
    <row r="424" spans="1:11" x14ac:dyDescent="0.45">
      <c r="A424" t="s">
        <v>434</v>
      </c>
      <c r="B424" t="s">
        <v>1029</v>
      </c>
      <c r="C424">
        <v>58</v>
      </c>
      <c r="D424">
        <v>2</v>
      </c>
      <c r="E424" t="s">
        <v>1025</v>
      </c>
      <c r="F424" t="s">
        <v>1033</v>
      </c>
      <c r="G424" t="s">
        <v>1</v>
      </c>
      <c r="H424" t="s">
        <v>2</v>
      </c>
      <c r="I424" t="s">
        <v>1027</v>
      </c>
      <c r="J424" s="1">
        <v>46176</v>
      </c>
      <c r="K424" t="s">
        <v>1038</v>
      </c>
    </row>
    <row r="425" spans="1:11" x14ac:dyDescent="0.45">
      <c r="A425" t="s">
        <v>435</v>
      </c>
      <c r="B425" t="s">
        <v>1029</v>
      </c>
      <c r="C425">
        <v>50</v>
      </c>
      <c r="D425">
        <v>3</v>
      </c>
      <c r="E425" t="s">
        <v>1025</v>
      </c>
      <c r="F425" t="s">
        <v>1032</v>
      </c>
      <c r="G425" t="s">
        <v>1</v>
      </c>
      <c r="H425" t="s">
        <v>2</v>
      </c>
      <c r="I425" t="s">
        <v>1027</v>
      </c>
      <c r="J425" s="1">
        <v>46176</v>
      </c>
      <c r="K425" t="s">
        <v>1038</v>
      </c>
    </row>
    <row r="426" spans="1:11" x14ac:dyDescent="0.45">
      <c r="A426" t="s">
        <v>436</v>
      </c>
      <c r="B426" t="s">
        <v>1024</v>
      </c>
      <c r="C426">
        <v>17</v>
      </c>
      <c r="D426">
        <v>2</v>
      </c>
      <c r="E426" t="s">
        <v>1025</v>
      </c>
      <c r="F426" t="s">
        <v>1033</v>
      </c>
      <c r="G426" t="s">
        <v>1</v>
      </c>
      <c r="H426" t="s">
        <v>2</v>
      </c>
      <c r="I426" t="s">
        <v>1027</v>
      </c>
      <c r="J426" s="1">
        <v>46176</v>
      </c>
      <c r="K426" t="s">
        <v>1038</v>
      </c>
    </row>
    <row r="427" spans="1:11" x14ac:dyDescent="0.45">
      <c r="A427" t="s">
        <v>437</v>
      </c>
      <c r="B427" t="s">
        <v>1030</v>
      </c>
      <c r="C427">
        <v>37</v>
      </c>
      <c r="D427">
        <v>1</v>
      </c>
      <c r="E427" t="s">
        <v>1025</v>
      </c>
      <c r="F427" t="s">
        <v>1033</v>
      </c>
      <c r="G427" t="s">
        <v>1</v>
      </c>
      <c r="H427" t="s">
        <v>2</v>
      </c>
      <c r="I427" t="s">
        <v>1027</v>
      </c>
      <c r="J427" s="1">
        <v>46176</v>
      </c>
      <c r="K427" t="s">
        <v>1038</v>
      </c>
    </row>
    <row r="428" spans="1:11" x14ac:dyDescent="0.45">
      <c r="A428" t="s">
        <v>438</v>
      </c>
      <c r="B428" t="s">
        <v>1029</v>
      </c>
      <c r="C428">
        <v>51</v>
      </c>
      <c r="D428">
        <v>25</v>
      </c>
      <c r="E428" t="s">
        <v>1034</v>
      </c>
      <c r="F428" t="s">
        <v>1026</v>
      </c>
      <c r="G428" t="s">
        <v>1035</v>
      </c>
      <c r="H428" t="s">
        <v>3</v>
      </c>
      <c r="I428" t="s">
        <v>1027</v>
      </c>
      <c r="J428" s="1">
        <v>46176</v>
      </c>
      <c r="K428" t="s">
        <v>1038</v>
      </c>
    </row>
    <row r="429" spans="1:11" x14ac:dyDescent="0.45">
      <c r="A429" t="s">
        <v>439</v>
      </c>
      <c r="B429" t="s">
        <v>1029</v>
      </c>
      <c r="C429">
        <v>59</v>
      </c>
      <c r="D429">
        <v>2</v>
      </c>
      <c r="E429" t="s">
        <v>1025</v>
      </c>
      <c r="F429" t="s">
        <v>1026</v>
      </c>
      <c r="G429" t="s">
        <v>1</v>
      </c>
      <c r="H429" t="s">
        <v>2</v>
      </c>
      <c r="I429" t="s">
        <v>1027</v>
      </c>
      <c r="J429" s="1">
        <v>46176</v>
      </c>
      <c r="K429" t="s">
        <v>1038</v>
      </c>
    </row>
    <row r="430" spans="1:11" x14ac:dyDescent="0.45">
      <c r="A430" t="s">
        <v>440</v>
      </c>
      <c r="B430" t="s">
        <v>1030</v>
      </c>
      <c r="C430">
        <v>47</v>
      </c>
      <c r="D430">
        <v>4</v>
      </c>
      <c r="E430" t="s">
        <v>1025</v>
      </c>
      <c r="F430" t="s">
        <v>1033</v>
      </c>
      <c r="G430" t="s">
        <v>1</v>
      </c>
      <c r="H430" t="s">
        <v>2</v>
      </c>
      <c r="I430" t="s">
        <v>1027</v>
      </c>
      <c r="J430" s="1">
        <v>46176</v>
      </c>
      <c r="K430" t="s">
        <v>1038</v>
      </c>
    </row>
    <row r="431" spans="1:11" x14ac:dyDescent="0.45">
      <c r="A431" t="s">
        <v>441</v>
      </c>
      <c r="B431" t="s">
        <v>1024</v>
      </c>
      <c r="C431">
        <v>21</v>
      </c>
      <c r="D431">
        <v>3</v>
      </c>
      <c r="E431" t="s">
        <v>1025</v>
      </c>
      <c r="F431" t="s">
        <v>1026</v>
      </c>
      <c r="G431" t="s">
        <v>1</v>
      </c>
      <c r="H431" t="s">
        <v>2</v>
      </c>
      <c r="I431" t="s">
        <v>1027</v>
      </c>
      <c r="J431" s="1">
        <v>46176</v>
      </c>
      <c r="K431" t="s">
        <v>1038</v>
      </c>
    </row>
    <row r="432" spans="1:11" x14ac:dyDescent="0.45">
      <c r="A432" t="s">
        <v>442</v>
      </c>
      <c r="B432" t="s">
        <v>1024</v>
      </c>
      <c r="C432">
        <v>25</v>
      </c>
      <c r="D432">
        <v>1</v>
      </c>
      <c r="E432" t="s">
        <v>1025</v>
      </c>
      <c r="F432" t="s">
        <v>1033</v>
      </c>
      <c r="G432" t="s">
        <v>1</v>
      </c>
      <c r="H432" t="s">
        <v>2</v>
      </c>
      <c r="I432" t="s">
        <v>1027</v>
      </c>
      <c r="J432" s="1">
        <v>46176</v>
      </c>
      <c r="K432" t="s">
        <v>1038</v>
      </c>
    </row>
    <row r="433" spans="1:11" x14ac:dyDescent="0.45">
      <c r="A433" t="s">
        <v>443</v>
      </c>
      <c r="B433" t="s">
        <v>1024</v>
      </c>
      <c r="C433">
        <v>21</v>
      </c>
      <c r="D433">
        <v>3</v>
      </c>
      <c r="E433" t="s">
        <v>1025</v>
      </c>
      <c r="F433" t="s">
        <v>1033</v>
      </c>
      <c r="G433" t="s">
        <v>1</v>
      </c>
      <c r="H433" t="s">
        <v>2</v>
      </c>
      <c r="I433" t="s">
        <v>1027</v>
      </c>
      <c r="J433" s="1">
        <v>46176</v>
      </c>
      <c r="K433" t="s">
        <v>1038</v>
      </c>
    </row>
    <row r="434" spans="1:11" x14ac:dyDescent="0.45">
      <c r="A434" t="s">
        <v>444</v>
      </c>
      <c r="B434" t="s">
        <v>1024</v>
      </c>
      <c r="C434">
        <v>13</v>
      </c>
      <c r="D434">
        <v>1</v>
      </c>
      <c r="E434" t="s">
        <v>1025</v>
      </c>
      <c r="F434" t="s">
        <v>1033</v>
      </c>
      <c r="G434" t="s">
        <v>1</v>
      </c>
      <c r="H434" t="s">
        <v>2</v>
      </c>
      <c r="I434" t="s">
        <v>1027</v>
      </c>
      <c r="J434" s="1">
        <v>46176</v>
      </c>
      <c r="K434" t="s">
        <v>1038</v>
      </c>
    </row>
    <row r="435" spans="1:11" x14ac:dyDescent="0.45">
      <c r="A435" t="s">
        <v>445</v>
      </c>
      <c r="B435" t="s">
        <v>1029</v>
      </c>
      <c r="C435">
        <v>60</v>
      </c>
      <c r="D435">
        <v>1</v>
      </c>
      <c r="E435" t="s">
        <v>1025</v>
      </c>
      <c r="F435" t="s">
        <v>1033</v>
      </c>
      <c r="G435" t="s">
        <v>1</v>
      </c>
      <c r="H435" t="s">
        <v>2</v>
      </c>
      <c r="I435" t="s">
        <v>1027</v>
      </c>
      <c r="J435" s="1">
        <v>46176</v>
      </c>
      <c r="K435" t="s">
        <v>1038</v>
      </c>
    </row>
    <row r="436" spans="1:11" x14ac:dyDescent="0.45">
      <c r="A436" t="s">
        <v>446</v>
      </c>
      <c r="B436" t="s">
        <v>1029</v>
      </c>
      <c r="C436">
        <v>51</v>
      </c>
      <c r="D436">
        <v>5</v>
      </c>
      <c r="E436" t="s">
        <v>1025</v>
      </c>
      <c r="F436" t="s">
        <v>1031</v>
      </c>
      <c r="G436" t="s">
        <v>1</v>
      </c>
      <c r="H436" t="s">
        <v>2</v>
      </c>
      <c r="I436" t="s">
        <v>1027</v>
      </c>
      <c r="J436" s="1">
        <v>46176</v>
      </c>
      <c r="K436" t="s">
        <v>1038</v>
      </c>
    </row>
    <row r="437" spans="1:11" x14ac:dyDescent="0.45">
      <c r="A437" t="s">
        <v>447</v>
      </c>
      <c r="B437" t="s">
        <v>1024</v>
      </c>
      <c r="C437">
        <v>11</v>
      </c>
      <c r="D437">
        <v>1</v>
      </c>
      <c r="E437" t="s">
        <v>1025</v>
      </c>
      <c r="F437" t="s">
        <v>1033</v>
      </c>
      <c r="G437" t="s">
        <v>1</v>
      </c>
      <c r="H437" t="s">
        <v>2</v>
      </c>
      <c r="I437" t="s">
        <v>1027</v>
      </c>
      <c r="J437" s="1">
        <v>46176</v>
      </c>
      <c r="K437" t="s">
        <v>1038</v>
      </c>
    </row>
    <row r="438" spans="1:11" x14ac:dyDescent="0.45">
      <c r="A438" t="s">
        <v>448</v>
      </c>
      <c r="B438" t="s">
        <v>1029</v>
      </c>
      <c r="C438">
        <v>47</v>
      </c>
      <c r="D438">
        <v>0</v>
      </c>
      <c r="E438" t="s">
        <v>1025</v>
      </c>
      <c r="F438" t="s">
        <v>1032</v>
      </c>
      <c r="G438" t="s">
        <v>1</v>
      </c>
      <c r="H438" t="s">
        <v>2</v>
      </c>
      <c r="I438" t="s">
        <v>1027</v>
      </c>
      <c r="J438" s="1">
        <v>46176</v>
      </c>
      <c r="K438" t="s">
        <v>1038</v>
      </c>
    </row>
    <row r="439" spans="1:11" x14ac:dyDescent="0.45">
      <c r="A439" t="s">
        <v>449</v>
      </c>
      <c r="B439" t="s">
        <v>1024</v>
      </c>
      <c r="C439">
        <v>13</v>
      </c>
      <c r="D439">
        <v>0</v>
      </c>
      <c r="E439" t="s">
        <v>1025</v>
      </c>
      <c r="F439" t="s">
        <v>1032</v>
      </c>
      <c r="G439" t="s">
        <v>1</v>
      </c>
      <c r="H439" t="s">
        <v>2</v>
      </c>
      <c r="I439" t="s">
        <v>1027</v>
      </c>
      <c r="J439" s="1">
        <v>46176</v>
      </c>
      <c r="K439" t="s">
        <v>1038</v>
      </c>
    </row>
    <row r="440" spans="1:11" x14ac:dyDescent="0.45">
      <c r="A440" t="s">
        <v>450</v>
      </c>
      <c r="B440" t="s">
        <v>1024</v>
      </c>
      <c r="C440">
        <v>11</v>
      </c>
      <c r="D440">
        <v>4</v>
      </c>
      <c r="E440" t="s">
        <v>1025</v>
      </c>
      <c r="F440" t="s">
        <v>1031</v>
      </c>
      <c r="G440" t="s">
        <v>1</v>
      </c>
      <c r="H440" t="s">
        <v>2</v>
      </c>
      <c r="I440" t="s">
        <v>1027</v>
      </c>
      <c r="J440" s="1">
        <v>46176</v>
      </c>
      <c r="K440" t="s">
        <v>1038</v>
      </c>
    </row>
    <row r="441" spans="1:11" x14ac:dyDescent="0.45">
      <c r="A441" t="s">
        <v>451</v>
      </c>
      <c r="B441" t="s">
        <v>1024</v>
      </c>
      <c r="C441">
        <v>13</v>
      </c>
      <c r="D441">
        <v>0</v>
      </c>
      <c r="E441" t="s">
        <v>1025</v>
      </c>
      <c r="F441" t="s">
        <v>1033</v>
      </c>
      <c r="G441" t="s">
        <v>1</v>
      </c>
      <c r="H441" t="s">
        <v>2</v>
      </c>
      <c r="I441" t="s">
        <v>1027</v>
      </c>
      <c r="J441" s="1">
        <v>46176</v>
      </c>
      <c r="K441" t="s">
        <v>1038</v>
      </c>
    </row>
    <row r="442" spans="1:11" x14ac:dyDescent="0.45">
      <c r="A442" t="s">
        <v>452</v>
      </c>
      <c r="B442" t="s">
        <v>1029</v>
      </c>
      <c r="C442">
        <v>59</v>
      </c>
      <c r="D442">
        <v>2</v>
      </c>
      <c r="E442" t="s">
        <v>1025</v>
      </c>
      <c r="F442" t="s">
        <v>1031</v>
      </c>
      <c r="G442" t="s">
        <v>1</v>
      </c>
      <c r="H442" t="s">
        <v>2</v>
      </c>
      <c r="I442" t="s">
        <v>1027</v>
      </c>
      <c r="J442" s="1">
        <v>46176</v>
      </c>
      <c r="K442" t="s">
        <v>1038</v>
      </c>
    </row>
    <row r="443" spans="1:11" x14ac:dyDescent="0.45">
      <c r="A443" t="s">
        <v>453</v>
      </c>
      <c r="B443" t="s">
        <v>1029</v>
      </c>
      <c r="C443">
        <v>58</v>
      </c>
      <c r="D443">
        <v>28</v>
      </c>
      <c r="E443" t="s">
        <v>1034</v>
      </c>
      <c r="F443" t="s">
        <v>1032</v>
      </c>
      <c r="G443" t="s">
        <v>1035</v>
      </c>
      <c r="H443" t="s">
        <v>3</v>
      </c>
      <c r="I443" t="s">
        <v>1027</v>
      </c>
      <c r="J443" s="1">
        <v>46176</v>
      </c>
      <c r="K443" t="s">
        <v>1038</v>
      </c>
    </row>
    <row r="444" spans="1:11" x14ac:dyDescent="0.45">
      <c r="A444" t="s">
        <v>454</v>
      </c>
      <c r="B444" t="s">
        <v>1030</v>
      </c>
      <c r="C444">
        <v>47</v>
      </c>
      <c r="D444">
        <v>1</v>
      </c>
      <c r="E444" t="s">
        <v>1025</v>
      </c>
      <c r="F444" t="s">
        <v>1033</v>
      </c>
      <c r="G444" t="s">
        <v>1</v>
      </c>
      <c r="H444" t="s">
        <v>2</v>
      </c>
      <c r="I444" t="s">
        <v>1027</v>
      </c>
      <c r="J444" s="1">
        <v>46176</v>
      </c>
      <c r="K444" t="s">
        <v>1038</v>
      </c>
    </row>
    <row r="445" spans="1:11" x14ac:dyDescent="0.45">
      <c r="A445" t="s">
        <v>455</v>
      </c>
      <c r="B445" t="s">
        <v>1024</v>
      </c>
      <c r="C445">
        <v>14</v>
      </c>
      <c r="D445">
        <v>1</v>
      </c>
      <c r="E445" t="s">
        <v>1025</v>
      </c>
      <c r="F445" t="s">
        <v>1031</v>
      </c>
      <c r="G445" t="s">
        <v>1</v>
      </c>
      <c r="H445" t="s">
        <v>2</v>
      </c>
      <c r="I445" t="s">
        <v>1027</v>
      </c>
      <c r="J445" s="1">
        <v>46176</v>
      </c>
      <c r="K445" t="s">
        <v>1038</v>
      </c>
    </row>
    <row r="446" spans="1:11" x14ac:dyDescent="0.45">
      <c r="A446" t="s">
        <v>456</v>
      </c>
      <c r="B446" t="s">
        <v>1024</v>
      </c>
      <c r="C446">
        <v>10</v>
      </c>
      <c r="D446">
        <v>0</v>
      </c>
      <c r="E446" t="s">
        <v>1025</v>
      </c>
      <c r="F446" t="s">
        <v>1033</v>
      </c>
      <c r="G446" t="s">
        <v>1</v>
      </c>
      <c r="H446" t="s">
        <v>2</v>
      </c>
      <c r="I446" t="s">
        <v>1027</v>
      </c>
      <c r="J446" s="1">
        <v>46176</v>
      </c>
      <c r="K446" t="s">
        <v>1038</v>
      </c>
    </row>
    <row r="447" spans="1:11" x14ac:dyDescent="0.45">
      <c r="A447" t="s">
        <v>457</v>
      </c>
      <c r="B447" t="s">
        <v>1024</v>
      </c>
      <c r="C447">
        <v>22</v>
      </c>
      <c r="D447">
        <v>1</v>
      </c>
      <c r="E447" t="s">
        <v>1025</v>
      </c>
      <c r="F447" t="s">
        <v>1033</v>
      </c>
      <c r="G447" t="s">
        <v>1</v>
      </c>
      <c r="H447" t="s">
        <v>2</v>
      </c>
      <c r="I447" t="s">
        <v>1027</v>
      </c>
      <c r="J447" s="1">
        <v>46176</v>
      </c>
      <c r="K447" t="s">
        <v>1038</v>
      </c>
    </row>
    <row r="448" spans="1:11" x14ac:dyDescent="0.45">
      <c r="A448" t="s">
        <v>458</v>
      </c>
      <c r="B448" t="s">
        <v>1029</v>
      </c>
      <c r="C448">
        <v>47</v>
      </c>
      <c r="D448">
        <v>0</v>
      </c>
      <c r="E448" t="s">
        <v>1025</v>
      </c>
      <c r="F448" t="s">
        <v>1026</v>
      </c>
      <c r="G448" t="s">
        <v>1</v>
      </c>
      <c r="H448" t="s">
        <v>2</v>
      </c>
      <c r="I448" t="s">
        <v>1027</v>
      </c>
      <c r="J448" s="1">
        <v>46176</v>
      </c>
      <c r="K448" t="s">
        <v>1038</v>
      </c>
    </row>
    <row r="449" spans="1:11" x14ac:dyDescent="0.45">
      <c r="A449" t="s">
        <v>459</v>
      </c>
      <c r="B449" t="s">
        <v>1029</v>
      </c>
      <c r="C449">
        <v>52</v>
      </c>
      <c r="D449">
        <v>4</v>
      </c>
      <c r="E449" t="s">
        <v>1025</v>
      </c>
      <c r="F449" t="s">
        <v>1031</v>
      </c>
      <c r="G449" t="s">
        <v>1</v>
      </c>
      <c r="H449" t="s">
        <v>2</v>
      </c>
      <c r="I449" t="s">
        <v>1027</v>
      </c>
      <c r="J449" s="1">
        <v>46176</v>
      </c>
      <c r="K449" t="s">
        <v>1038</v>
      </c>
    </row>
    <row r="450" spans="1:11" x14ac:dyDescent="0.45">
      <c r="A450" t="s">
        <v>460</v>
      </c>
      <c r="B450" t="s">
        <v>1024</v>
      </c>
      <c r="C450">
        <v>15</v>
      </c>
      <c r="D450">
        <v>3</v>
      </c>
      <c r="E450" t="s">
        <v>1025</v>
      </c>
      <c r="F450" t="s">
        <v>1033</v>
      </c>
      <c r="G450" t="s">
        <v>1</v>
      </c>
      <c r="H450" t="s">
        <v>2</v>
      </c>
      <c r="I450" t="s">
        <v>1027</v>
      </c>
      <c r="J450" s="1">
        <v>46176</v>
      </c>
      <c r="K450" t="s">
        <v>1038</v>
      </c>
    </row>
    <row r="451" spans="1:11" x14ac:dyDescent="0.45">
      <c r="A451" t="s">
        <v>461</v>
      </c>
      <c r="B451" t="s">
        <v>1029</v>
      </c>
      <c r="C451">
        <v>65</v>
      </c>
      <c r="D451">
        <v>1</v>
      </c>
      <c r="E451" t="s">
        <v>1025</v>
      </c>
      <c r="F451" t="s">
        <v>1033</v>
      </c>
      <c r="G451" t="s">
        <v>1</v>
      </c>
      <c r="H451" t="s">
        <v>2</v>
      </c>
      <c r="I451" t="s">
        <v>1027</v>
      </c>
      <c r="J451" s="1">
        <v>46176</v>
      </c>
      <c r="K451" t="s">
        <v>1038</v>
      </c>
    </row>
    <row r="452" spans="1:11" x14ac:dyDescent="0.45">
      <c r="A452" t="s">
        <v>462</v>
      </c>
      <c r="B452" t="s">
        <v>1030</v>
      </c>
      <c r="C452">
        <v>47</v>
      </c>
      <c r="D452">
        <v>2</v>
      </c>
      <c r="E452" t="s">
        <v>1025</v>
      </c>
      <c r="F452" t="s">
        <v>1026</v>
      </c>
      <c r="G452" t="s">
        <v>1</v>
      </c>
      <c r="H452" t="s">
        <v>2</v>
      </c>
      <c r="I452" t="s">
        <v>1027</v>
      </c>
      <c r="J452" s="1">
        <v>46176</v>
      </c>
      <c r="K452" t="s">
        <v>1038</v>
      </c>
    </row>
    <row r="453" spans="1:11" x14ac:dyDescent="0.45">
      <c r="A453" t="s">
        <v>463</v>
      </c>
      <c r="B453" t="s">
        <v>1024</v>
      </c>
      <c r="C453">
        <v>18</v>
      </c>
      <c r="D453">
        <v>2</v>
      </c>
      <c r="E453" t="s">
        <v>1025</v>
      </c>
      <c r="F453" t="s">
        <v>1033</v>
      </c>
      <c r="G453" t="s">
        <v>1</v>
      </c>
      <c r="H453" t="s">
        <v>2</v>
      </c>
      <c r="I453" t="s">
        <v>1027</v>
      </c>
      <c r="J453" s="1">
        <v>46176</v>
      </c>
      <c r="K453" t="s">
        <v>1038</v>
      </c>
    </row>
    <row r="454" spans="1:11" x14ac:dyDescent="0.45">
      <c r="A454" t="s">
        <v>464</v>
      </c>
      <c r="B454" t="s">
        <v>1030</v>
      </c>
      <c r="C454">
        <v>45</v>
      </c>
      <c r="D454">
        <v>29</v>
      </c>
      <c r="E454" t="s">
        <v>1034</v>
      </c>
      <c r="F454" t="s">
        <v>1026</v>
      </c>
      <c r="G454" t="s">
        <v>1035</v>
      </c>
      <c r="H454" t="s">
        <v>3</v>
      </c>
      <c r="I454" t="s">
        <v>1027</v>
      </c>
      <c r="J454" s="1">
        <v>46176</v>
      </c>
      <c r="K454" t="s">
        <v>1038</v>
      </c>
    </row>
    <row r="455" spans="1:11" x14ac:dyDescent="0.45">
      <c r="A455" t="s">
        <v>465</v>
      </c>
      <c r="B455" t="s">
        <v>1029</v>
      </c>
      <c r="C455">
        <v>65</v>
      </c>
      <c r="D455">
        <v>26</v>
      </c>
      <c r="E455" t="s">
        <v>1034</v>
      </c>
      <c r="F455" t="s">
        <v>1026</v>
      </c>
      <c r="G455" t="s">
        <v>1035</v>
      </c>
      <c r="H455" t="s">
        <v>3</v>
      </c>
      <c r="I455" t="s">
        <v>1027</v>
      </c>
      <c r="J455" s="1">
        <v>46176</v>
      </c>
      <c r="K455" t="s">
        <v>1038</v>
      </c>
    </row>
    <row r="456" spans="1:11" x14ac:dyDescent="0.45">
      <c r="A456" t="s">
        <v>466</v>
      </c>
      <c r="B456" t="s">
        <v>1029</v>
      </c>
      <c r="C456">
        <v>62</v>
      </c>
      <c r="D456">
        <v>0</v>
      </c>
      <c r="E456" t="s">
        <v>1025</v>
      </c>
      <c r="F456" t="s">
        <v>1033</v>
      </c>
      <c r="G456" t="s">
        <v>1</v>
      </c>
      <c r="H456" t="s">
        <v>2</v>
      </c>
      <c r="I456" t="s">
        <v>1027</v>
      </c>
      <c r="J456" s="1">
        <v>46176</v>
      </c>
      <c r="K456" t="s">
        <v>1038</v>
      </c>
    </row>
    <row r="457" spans="1:11" x14ac:dyDescent="0.45">
      <c r="A457" t="s">
        <v>467</v>
      </c>
      <c r="B457" t="s">
        <v>1030</v>
      </c>
      <c r="C457">
        <v>48</v>
      </c>
      <c r="D457">
        <v>1</v>
      </c>
      <c r="E457" t="s">
        <v>1025</v>
      </c>
      <c r="F457" t="s">
        <v>1033</v>
      </c>
      <c r="G457" t="s">
        <v>1</v>
      </c>
      <c r="H457" t="s">
        <v>2</v>
      </c>
      <c r="I457" t="s">
        <v>1027</v>
      </c>
      <c r="J457" s="1">
        <v>46176</v>
      </c>
      <c r="K457" t="s">
        <v>1038</v>
      </c>
    </row>
    <row r="458" spans="1:11" x14ac:dyDescent="0.45">
      <c r="A458" t="s">
        <v>468</v>
      </c>
      <c r="B458" t="s">
        <v>1024</v>
      </c>
      <c r="C458">
        <v>13</v>
      </c>
      <c r="D458">
        <v>0</v>
      </c>
      <c r="E458" t="s">
        <v>1025</v>
      </c>
      <c r="F458" t="s">
        <v>1032</v>
      </c>
      <c r="G458" t="s">
        <v>1</v>
      </c>
      <c r="H458" t="s">
        <v>2</v>
      </c>
      <c r="I458" t="s">
        <v>1027</v>
      </c>
      <c r="J458" s="1">
        <v>46176</v>
      </c>
      <c r="K458" t="s">
        <v>1038</v>
      </c>
    </row>
    <row r="459" spans="1:11" x14ac:dyDescent="0.45">
      <c r="A459" t="s">
        <v>469</v>
      </c>
      <c r="B459" t="s">
        <v>1029</v>
      </c>
      <c r="C459">
        <v>54</v>
      </c>
      <c r="D459">
        <v>2</v>
      </c>
      <c r="E459" t="s">
        <v>1025</v>
      </c>
      <c r="F459" t="s">
        <v>1031</v>
      </c>
      <c r="G459" t="s">
        <v>1</v>
      </c>
      <c r="H459" t="s">
        <v>2</v>
      </c>
      <c r="I459" t="s">
        <v>1027</v>
      </c>
      <c r="J459" s="1">
        <v>46176</v>
      </c>
      <c r="K459" t="s">
        <v>1038</v>
      </c>
    </row>
    <row r="460" spans="1:11" x14ac:dyDescent="0.45">
      <c r="A460" t="s">
        <v>470</v>
      </c>
      <c r="B460" t="s">
        <v>1030</v>
      </c>
      <c r="C460">
        <v>47</v>
      </c>
      <c r="D460">
        <v>1</v>
      </c>
      <c r="E460" t="s">
        <v>1025</v>
      </c>
      <c r="F460" t="s">
        <v>1033</v>
      </c>
      <c r="G460" t="s">
        <v>1</v>
      </c>
      <c r="H460" t="s">
        <v>2</v>
      </c>
      <c r="I460" t="s">
        <v>1027</v>
      </c>
      <c r="J460" s="1">
        <v>46176</v>
      </c>
      <c r="K460" t="s">
        <v>1038</v>
      </c>
    </row>
    <row r="461" spans="1:11" x14ac:dyDescent="0.45">
      <c r="A461" t="s">
        <v>471</v>
      </c>
      <c r="B461" t="s">
        <v>1029</v>
      </c>
      <c r="C461">
        <v>64</v>
      </c>
      <c r="D461">
        <v>0</v>
      </c>
      <c r="E461" t="s">
        <v>1025</v>
      </c>
      <c r="F461" t="s">
        <v>1031</v>
      </c>
      <c r="G461" t="s">
        <v>1</v>
      </c>
      <c r="H461" t="s">
        <v>2</v>
      </c>
      <c r="I461" t="s">
        <v>1027</v>
      </c>
      <c r="J461" s="1">
        <v>46176</v>
      </c>
      <c r="K461" t="s">
        <v>1038</v>
      </c>
    </row>
    <row r="462" spans="1:11" x14ac:dyDescent="0.45">
      <c r="A462" t="s">
        <v>472</v>
      </c>
      <c r="B462" t="s">
        <v>1030</v>
      </c>
      <c r="C462">
        <v>38</v>
      </c>
      <c r="D462">
        <v>2</v>
      </c>
      <c r="E462" t="s">
        <v>1025</v>
      </c>
      <c r="F462" t="s">
        <v>1026</v>
      </c>
      <c r="G462" t="s">
        <v>1</v>
      </c>
      <c r="H462" t="s">
        <v>2</v>
      </c>
      <c r="I462" t="s">
        <v>1027</v>
      </c>
      <c r="J462" s="1">
        <v>46176</v>
      </c>
      <c r="K462" t="s">
        <v>1038</v>
      </c>
    </row>
    <row r="463" spans="1:11" x14ac:dyDescent="0.45">
      <c r="A463" t="s">
        <v>473</v>
      </c>
      <c r="B463" t="s">
        <v>1030</v>
      </c>
      <c r="C463">
        <v>42</v>
      </c>
      <c r="D463">
        <v>2</v>
      </c>
      <c r="E463" t="s">
        <v>1025</v>
      </c>
      <c r="F463" t="s">
        <v>1026</v>
      </c>
      <c r="G463" t="s">
        <v>1</v>
      </c>
      <c r="H463" t="s">
        <v>2</v>
      </c>
      <c r="I463" t="s">
        <v>1027</v>
      </c>
      <c r="J463" s="1">
        <v>46176</v>
      </c>
      <c r="K463" t="s">
        <v>1038</v>
      </c>
    </row>
    <row r="464" spans="1:11" x14ac:dyDescent="0.45">
      <c r="A464" t="s">
        <v>474</v>
      </c>
      <c r="B464" t="s">
        <v>1029</v>
      </c>
      <c r="C464">
        <v>61</v>
      </c>
      <c r="D464">
        <v>5</v>
      </c>
      <c r="E464" t="s">
        <v>1025</v>
      </c>
      <c r="F464" t="s">
        <v>1026</v>
      </c>
      <c r="G464" t="s">
        <v>1</v>
      </c>
      <c r="H464" t="s">
        <v>2</v>
      </c>
      <c r="I464" t="s">
        <v>1027</v>
      </c>
      <c r="J464" s="1">
        <v>46176</v>
      </c>
      <c r="K464" t="s">
        <v>1038</v>
      </c>
    </row>
    <row r="465" spans="1:11" x14ac:dyDescent="0.45">
      <c r="A465" t="s">
        <v>475</v>
      </c>
      <c r="B465" t="s">
        <v>1024</v>
      </c>
      <c r="C465">
        <v>24</v>
      </c>
      <c r="D465">
        <v>3</v>
      </c>
      <c r="E465" t="s">
        <v>1025</v>
      </c>
      <c r="F465" t="s">
        <v>1026</v>
      </c>
      <c r="G465" t="s">
        <v>1</v>
      </c>
      <c r="H465" t="s">
        <v>2</v>
      </c>
      <c r="I465" t="s">
        <v>1027</v>
      </c>
      <c r="J465" s="1">
        <v>46176</v>
      </c>
      <c r="K465" t="s">
        <v>1038</v>
      </c>
    </row>
    <row r="466" spans="1:11" x14ac:dyDescent="0.45">
      <c r="A466" t="s">
        <v>476</v>
      </c>
      <c r="B466" t="s">
        <v>1024</v>
      </c>
      <c r="C466">
        <v>22</v>
      </c>
      <c r="D466">
        <v>0</v>
      </c>
      <c r="E466" t="s">
        <v>1025</v>
      </c>
      <c r="F466" t="s">
        <v>1031</v>
      </c>
      <c r="G466" t="s">
        <v>1</v>
      </c>
      <c r="H466" t="s">
        <v>2</v>
      </c>
      <c r="I466" t="s">
        <v>1027</v>
      </c>
      <c r="J466" s="1">
        <v>46176</v>
      </c>
      <c r="K466" t="s">
        <v>1038</v>
      </c>
    </row>
    <row r="467" spans="1:11" x14ac:dyDescent="0.45">
      <c r="A467" t="s">
        <v>477</v>
      </c>
      <c r="B467" t="s">
        <v>1024</v>
      </c>
      <c r="C467">
        <v>20</v>
      </c>
      <c r="D467">
        <v>0</v>
      </c>
      <c r="E467" t="s">
        <v>1025</v>
      </c>
      <c r="F467" t="s">
        <v>1032</v>
      </c>
      <c r="G467" t="s">
        <v>1</v>
      </c>
      <c r="H467" t="s">
        <v>2</v>
      </c>
      <c r="I467" t="s">
        <v>1027</v>
      </c>
      <c r="J467" s="1">
        <v>46176</v>
      </c>
      <c r="K467" t="s">
        <v>1038</v>
      </c>
    </row>
    <row r="468" spans="1:11" x14ac:dyDescent="0.45">
      <c r="A468" t="s">
        <v>478</v>
      </c>
      <c r="B468" t="s">
        <v>1030</v>
      </c>
      <c r="C468">
        <v>32</v>
      </c>
      <c r="D468">
        <v>2</v>
      </c>
      <c r="E468" t="s">
        <v>1025</v>
      </c>
      <c r="F468" t="s">
        <v>1032</v>
      </c>
      <c r="G468" t="s">
        <v>1</v>
      </c>
      <c r="H468" t="s">
        <v>2</v>
      </c>
      <c r="I468" t="s">
        <v>1027</v>
      </c>
      <c r="J468" s="1">
        <v>46176</v>
      </c>
      <c r="K468" t="s">
        <v>1038</v>
      </c>
    </row>
    <row r="469" spans="1:11" x14ac:dyDescent="0.45">
      <c r="A469" t="s">
        <v>479</v>
      </c>
      <c r="B469" t="s">
        <v>1024</v>
      </c>
      <c r="C469">
        <v>21</v>
      </c>
      <c r="D469">
        <v>5</v>
      </c>
      <c r="E469" t="s">
        <v>1025</v>
      </c>
      <c r="F469" t="s">
        <v>1031</v>
      </c>
      <c r="G469" t="s">
        <v>1</v>
      </c>
      <c r="H469" t="s">
        <v>2</v>
      </c>
      <c r="I469" t="s">
        <v>1027</v>
      </c>
      <c r="J469" s="1">
        <v>46176</v>
      </c>
      <c r="K469" t="s">
        <v>1038</v>
      </c>
    </row>
    <row r="470" spans="1:11" x14ac:dyDescent="0.45">
      <c r="A470" t="s">
        <v>480</v>
      </c>
      <c r="B470" t="s">
        <v>1030</v>
      </c>
      <c r="C470">
        <v>44</v>
      </c>
      <c r="D470">
        <v>2</v>
      </c>
      <c r="E470" t="s">
        <v>1025</v>
      </c>
      <c r="F470" t="s">
        <v>1031</v>
      </c>
      <c r="G470" t="s">
        <v>1</v>
      </c>
      <c r="H470" t="s">
        <v>2</v>
      </c>
      <c r="I470" t="s">
        <v>1027</v>
      </c>
      <c r="J470" s="1">
        <v>46176</v>
      </c>
      <c r="K470" t="s">
        <v>1038</v>
      </c>
    </row>
    <row r="471" spans="1:11" x14ac:dyDescent="0.45">
      <c r="A471" t="s">
        <v>481</v>
      </c>
      <c r="B471" t="s">
        <v>1024</v>
      </c>
      <c r="C471">
        <v>11</v>
      </c>
      <c r="D471">
        <v>0</v>
      </c>
      <c r="E471" t="s">
        <v>1025</v>
      </c>
      <c r="F471" t="s">
        <v>1033</v>
      </c>
      <c r="G471" t="s">
        <v>1</v>
      </c>
      <c r="H471" t="s">
        <v>2</v>
      </c>
      <c r="I471" t="s">
        <v>1027</v>
      </c>
      <c r="J471" s="1">
        <v>46176</v>
      </c>
      <c r="K471" t="s">
        <v>1038</v>
      </c>
    </row>
    <row r="472" spans="1:11" x14ac:dyDescent="0.45">
      <c r="A472" t="s">
        <v>482</v>
      </c>
      <c r="B472" t="s">
        <v>1030</v>
      </c>
      <c r="C472">
        <v>39</v>
      </c>
      <c r="D472">
        <v>4</v>
      </c>
      <c r="E472" t="s">
        <v>1025</v>
      </c>
      <c r="F472" t="s">
        <v>1031</v>
      </c>
      <c r="G472" t="s">
        <v>1</v>
      </c>
      <c r="H472" t="s">
        <v>2</v>
      </c>
      <c r="I472" t="s">
        <v>1027</v>
      </c>
      <c r="J472" s="1">
        <v>46176</v>
      </c>
      <c r="K472" t="s">
        <v>1038</v>
      </c>
    </row>
    <row r="473" spans="1:11" x14ac:dyDescent="0.45">
      <c r="A473" t="s">
        <v>483</v>
      </c>
      <c r="B473" t="s">
        <v>1024</v>
      </c>
      <c r="C473">
        <v>15</v>
      </c>
      <c r="D473">
        <v>1</v>
      </c>
      <c r="E473" t="s">
        <v>1025</v>
      </c>
      <c r="F473" t="s">
        <v>1033</v>
      </c>
      <c r="G473" t="s">
        <v>1</v>
      </c>
      <c r="H473" t="s">
        <v>2</v>
      </c>
      <c r="I473" t="s">
        <v>1027</v>
      </c>
      <c r="J473" s="1">
        <v>46176</v>
      </c>
      <c r="K473" t="s">
        <v>1038</v>
      </c>
    </row>
    <row r="474" spans="1:11" x14ac:dyDescent="0.45">
      <c r="A474" t="s">
        <v>484</v>
      </c>
      <c r="B474" t="s">
        <v>1030</v>
      </c>
      <c r="C474">
        <v>31</v>
      </c>
      <c r="D474">
        <v>0</v>
      </c>
      <c r="E474" t="s">
        <v>1025</v>
      </c>
      <c r="F474" t="s">
        <v>1033</v>
      </c>
      <c r="G474" t="s">
        <v>1</v>
      </c>
      <c r="H474" t="s">
        <v>2</v>
      </c>
      <c r="I474" t="s">
        <v>1027</v>
      </c>
      <c r="J474" s="1">
        <v>46176</v>
      </c>
      <c r="K474" t="s">
        <v>1038</v>
      </c>
    </row>
    <row r="475" spans="1:11" x14ac:dyDescent="0.45">
      <c r="A475" t="s">
        <v>485</v>
      </c>
      <c r="B475" t="s">
        <v>1029</v>
      </c>
      <c r="C475">
        <v>61</v>
      </c>
      <c r="D475">
        <v>1</v>
      </c>
      <c r="E475" t="s">
        <v>1025</v>
      </c>
      <c r="F475" t="s">
        <v>1031</v>
      </c>
      <c r="G475" t="s">
        <v>1</v>
      </c>
      <c r="H475" t="s">
        <v>2</v>
      </c>
      <c r="I475" t="s">
        <v>1027</v>
      </c>
      <c r="J475" s="1">
        <v>46176</v>
      </c>
      <c r="K475" t="s">
        <v>1038</v>
      </c>
    </row>
    <row r="476" spans="1:11" x14ac:dyDescent="0.45">
      <c r="A476" t="s">
        <v>486</v>
      </c>
      <c r="B476" t="s">
        <v>1029</v>
      </c>
      <c r="C476">
        <v>49</v>
      </c>
      <c r="D476">
        <v>3</v>
      </c>
      <c r="E476" t="s">
        <v>1025</v>
      </c>
      <c r="F476" t="s">
        <v>1033</v>
      </c>
      <c r="G476" t="s">
        <v>1</v>
      </c>
      <c r="H476" t="s">
        <v>2</v>
      </c>
      <c r="I476" t="s">
        <v>1027</v>
      </c>
      <c r="J476" s="1">
        <v>46176</v>
      </c>
      <c r="K476" t="s">
        <v>1038</v>
      </c>
    </row>
    <row r="477" spans="1:11" x14ac:dyDescent="0.45">
      <c r="A477" t="s">
        <v>487</v>
      </c>
      <c r="B477" t="s">
        <v>1029</v>
      </c>
      <c r="C477">
        <v>49</v>
      </c>
      <c r="D477">
        <v>29</v>
      </c>
      <c r="E477" t="s">
        <v>1034</v>
      </c>
      <c r="F477" t="s">
        <v>1033</v>
      </c>
      <c r="G477" t="s">
        <v>1035</v>
      </c>
      <c r="H477" t="s">
        <v>3</v>
      </c>
      <c r="I477" t="s">
        <v>1027</v>
      </c>
      <c r="J477" s="1">
        <v>46176</v>
      </c>
      <c r="K477" t="s">
        <v>1038</v>
      </c>
    </row>
    <row r="478" spans="1:11" x14ac:dyDescent="0.45">
      <c r="A478" t="s">
        <v>488</v>
      </c>
      <c r="B478" t="s">
        <v>1024</v>
      </c>
      <c r="C478">
        <v>11</v>
      </c>
      <c r="D478">
        <v>0</v>
      </c>
      <c r="E478" t="s">
        <v>1025</v>
      </c>
      <c r="F478" t="s">
        <v>1033</v>
      </c>
      <c r="G478" t="s">
        <v>1</v>
      </c>
      <c r="H478" t="s">
        <v>2</v>
      </c>
      <c r="I478" t="s">
        <v>1027</v>
      </c>
      <c r="J478" s="1">
        <v>46176</v>
      </c>
      <c r="K478" t="s">
        <v>1038</v>
      </c>
    </row>
    <row r="479" spans="1:11" x14ac:dyDescent="0.45">
      <c r="A479" t="s">
        <v>489</v>
      </c>
      <c r="B479" t="s">
        <v>1030</v>
      </c>
      <c r="C479">
        <v>40</v>
      </c>
      <c r="D479">
        <v>3</v>
      </c>
      <c r="E479" t="s">
        <v>1025</v>
      </c>
      <c r="F479" t="s">
        <v>1033</v>
      </c>
      <c r="G479" t="s">
        <v>1</v>
      </c>
      <c r="H479" t="s">
        <v>2</v>
      </c>
      <c r="I479" t="s">
        <v>1027</v>
      </c>
      <c r="J479" s="1">
        <v>46176</v>
      </c>
      <c r="K479" t="s">
        <v>1038</v>
      </c>
    </row>
    <row r="480" spans="1:11" x14ac:dyDescent="0.45">
      <c r="A480" t="s">
        <v>490</v>
      </c>
      <c r="B480" t="s">
        <v>1030</v>
      </c>
      <c r="C480">
        <v>41</v>
      </c>
      <c r="D480">
        <v>1</v>
      </c>
      <c r="E480" t="s">
        <v>1025</v>
      </c>
      <c r="F480" t="s">
        <v>1032</v>
      </c>
      <c r="G480" t="s">
        <v>1</v>
      </c>
      <c r="H480" t="s">
        <v>2</v>
      </c>
      <c r="I480" t="s">
        <v>1027</v>
      </c>
      <c r="J480" s="1">
        <v>46176</v>
      </c>
      <c r="K480" t="s">
        <v>1038</v>
      </c>
    </row>
    <row r="481" spans="1:11" x14ac:dyDescent="0.45">
      <c r="A481" t="s">
        <v>491</v>
      </c>
      <c r="B481" t="s">
        <v>1030</v>
      </c>
      <c r="C481">
        <v>44</v>
      </c>
      <c r="D481">
        <v>1</v>
      </c>
      <c r="E481" t="s">
        <v>1025</v>
      </c>
      <c r="F481" t="s">
        <v>1026</v>
      </c>
      <c r="G481" t="s">
        <v>1</v>
      </c>
      <c r="H481" t="s">
        <v>2</v>
      </c>
      <c r="I481" t="s">
        <v>1027</v>
      </c>
      <c r="J481" s="1">
        <v>46176</v>
      </c>
      <c r="K481" t="s">
        <v>1038</v>
      </c>
    </row>
    <row r="482" spans="1:11" x14ac:dyDescent="0.45">
      <c r="A482" t="s">
        <v>492</v>
      </c>
      <c r="B482" t="s">
        <v>1024</v>
      </c>
      <c r="C482">
        <v>13</v>
      </c>
      <c r="D482">
        <v>3</v>
      </c>
      <c r="E482" t="s">
        <v>1025</v>
      </c>
      <c r="F482" t="s">
        <v>1031</v>
      </c>
      <c r="G482" t="s">
        <v>1</v>
      </c>
      <c r="H482" t="s">
        <v>2</v>
      </c>
      <c r="I482" t="s">
        <v>1027</v>
      </c>
      <c r="J482" s="1">
        <v>46176</v>
      </c>
      <c r="K482" t="s">
        <v>1038</v>
      </c>
    </row>
    <row r="483" spans="1:11" x14ac:dyDescent="0.45">
      <c r="A483" t="s">
        <v>493</v>
      </c>
      <c r="B483" t="s">
        <v>1024</v>
      </c>
      <c r="C483">
        <v>25</v>
      </c>
      <c r="D483">
        <v>2</v>
      </c>
      <c r="E483" t="s">
        <v>1025</v>
      </c>
      <c r="F483" t="s">
        <v>1032</v>
      </c>
      <c r="G483" t="s">
        <v>1</v>
      </c>
      <c r="H483" t="s">
        <v>2</v>
      </c>
      <c r="I483" t="s">
        <v>1027</v>
      </c>
      <c r="J483" s="1">
        <v>46176</v>
      </c>
      <c r="K483" t="s">
        <v>1038</v>
      </c>
    </row>
    <row r="484" spans="1:11" x14ac:dyDescent="0.45">
      <c r="A484" t="s">
        <v>494</v>
      </c>
      <c r="B484" t="s">
        <v>1029</v>
      </c>
      <c r="C484">
        <v>55</v>
      </c>
      <c r="D484">
        <v>2</v>
      </c>
      <c r="E484" t="s">
        <v>1025</v>
      </c>
      <c r="F484" t="s">
        <v>1026</v>
      </c>
      <c r="G484" t="s">
        <v>1</v>
      </c>
      <c r="H484" t="s">
        <v>2</v>
      </c>
      <c r="I484" t="s">
        <v>1027</v>
      </c>
      <c r="J484" s="1">
        <v>46176</v>
      </c>
      <c r="K484" t="s">
        <v>1038</v>
      </c>
    </row>
    <row r="485" spans="1:11" x14ac:dyDescent="0.45">
      <c r="A485" t="s">
        <v>495</v>
      </c>
      <c r="B485" t="s">
        <v>1029</v>
      </c>
      <c r="C485">
        <v>57</v>
      </c>
      <c r="D485">
        <v>0</v>
      </c>
      <c r="E485" t="s">
        <v>1025</v>
      </c>
      <c r="F485" t="s">
        <v>1033</v>
      </c>
      <c r="G485" t="s">
        <v>1</v>
      </c>
      <c r="H485" t="s">
        <v>2</v>
      </c>
      <c r="I485" t="s">
        <v>1027</v>
      </c>
      <c r="J485" s="1">
        <v>46176</v>
      </c>
      <c r="K485" t="s">
        <v>1038</v>
      </c>
    </row>
    <row r="486" spans="1:11" x14ac:dyDescent="0.45">
      <c r="A486" t="s">
        <v>496</v>
      </c>
      <c r="B486" t="s">
        <v>1030</v>
      </c>
      <c r="C486">
        <v>42</v>
      </c>
      <c r="D486">
        <v>4</v>
      </c>
      <c r="E486" t="s">
        <v>1025</v>
      </c>
      <c r="F486" t="s">
        <v>1031</v>
      </c>
      <c r="G486" t="s">
        <v>1</v>
      </c>
      <c r="H486" t="s">
        <v>2</v>
      </c>
      <c r="I486" t="s">
        <v>1027</v>
      </c>
      <c r="J486" s="1">
        <v>46176</v>
      </c>
      <c r="K486" t="s">
        <v>1038</v>
      </c>
    </row>
    <row r="487" spans="1:11" x14ac:dyDescent="0.45">
      <c r="A487" t="s">
        <v>497</v>
      </c>
      <c r="B487" t="s">
        <v>1024</v>
      </c>
      <c r="C487">
        <v>11</v>
      </c>
      <c r="D487">
        <v>34</v>
      </c>
      <c r="E487" t="s">
        <v>1034</v>
      </c>
      <c r="F487" t="s">
        <v>1031</v>
      </c>
      <c r="G487" t="s">
        <v>1035</v>
      </c>
      <c r="H487" t="s">
        <v>3</v>
      </c>
      <c r="I487" t="s">
        <v>1027</v>
      </c>
      <c r="J487" s="1">
        <v>46176</v>
      </c>
      <c r="K487" t="s">
        <v>1038</v>
      </c>
    </row>
    <row r="488" spans="1:11" x14ac:dyDescent="0.45">
      <c r="A488" t="s">
        <v>498</v>
      </c>
      <c r="B488" t="s">
        <v>1024</v>
      </c>
      <c r="C488">
        <v>21</v>
      </c>
      <c r="D488">
        <v>0</v>
      </c>
      <c r="E488" t="s">
        <v>1025</v>
      </c>
      <c r="F488" t="s">
        <v>1033</v>
      </c>
      <c r="G488" t="s">
        <v>1</v>
      </c>
      <c r="H488" t="s">
        <v>2</v>
      </c>
      <c r="I488" t="s">
        <v>1027</v>
      </c>
      <c r="J488" s="1">
        <v>46176</v>
      </c>
      <c r="K488" t="s">
        <v>1038</v>
      </c>
    </row>
    <row r="489" spans="1:11" x14ac:dyDescent="0.45">
      <c r="A489" t="s">
        <v>499</v>
      </c>
      <c r="B489" t="s">
        <v>1029</v>
      </c>
      <c r="C489">
        <v>51</v>
      </c>
      <c r="D489">
        <v>0</v>
      </c>
      <c r="E489" t="s">
        <v>1025</v>
      </c>
      <c r="F489" t="s">
        <v>1032</v>
      </c>
      <c r="G489" t="s">
        <v>1</v>
      </c>
      <c r="H489" t="s">
        <v>2</v>
      </c>
      <c r="I489" t="s">
        <v>1027</v>
      </c>
      <c r="J489" s="1">
        <v>46176</v>
      </c>
      <c r="K489" t="s">
        <v>1038</v>
      </c>
    </row>
    <row r="490" spans="1:11" x14ac:dyDescent="0.45">
      <c r="A490" t="s">
        <v>500</v>
      </c>
      <c r="B490" t="s">
        <v>1029</v>
      </c>
      <c r="C490">
        <v>52</v>
      </c>
      <c r="D490">
        <v>2</v>
      </c>
      <c r="E490" t="s">
        <v>1025</v>
      </c>
      <c r="F490" t="s">
        <v>1033</v>
      </c>
      <c r="G490" t="s">
        <v>1</v>
      </c>
      <c r="H490" t="s">
        <v>2</v>
      </c>
      <c r="I490" t="s">
        <v>1027</v>
      </c>
      <c r="J490" s="1">
        <v>46176</v>
      </c>
      <c r="K490" t="s">
        <v>1038</v>
      </c>
    </row>
    <row r="491" spans="1:11" x14ac:dyDescent="0.45">
      <c r="A491" t="s">
        <v>501</v>
      </c>
      <c r="B491" t="s">
        <v>1024</v>
      </c>
      <c r="C491">
        <v>25</v>
      </c>
      <c r="D491">
        <v>0</v>
      </c>
      <c r="E491" t="s">
        <v>1025</v>
      </c>
      <c r="F491" t="s">
        <v>1026</v>
      </c>
      <c r="G491" t="s">
        <v>1</v>
      </c>
      <c r="H491" t="s">
        <v>2</v>
      </c>
      <c r="I491" t="s">
        <v>1027</v>
      </c>
      <c r="J491" s="1">
        <v>46176</v>
      </c>
      <c r="K491" t="s">
        <v>1038</v>
      </c>
    </row>
    <row r="492" spans="1:11" x14ac:dyDescent="0.45">
      <c r="A492" t="s">
        <v>502</v>
      </c>
      <c r="B492" t="s">
        <v>1029</v>
      </c>
      <c r="C492">
        <v>46</v>
      </c>
      <c r="D492">
        <v>0</v>
      </c>
      <c r="E492" t="s">
        <v>1025</v>
      </c>
      <c r="F492" t="s">
        <v>1026</v>
      </c>
      <c r="G492" t="s">
        <v>1</v>
      </c>
      <c r="H492" t="s">
        <v>2</v>
      </c>
      <c r="I492" t="s">
        <v>1027</v>
      </c>
      <c r="J492" s="1">
        <v>46176</v>
      </c>
      <c r="K492" t="s">
        <v>1038</v>
      </c>
    </row>
    <row r="493" spans="1:11" x14ac:dyDescent="0.45">
      <c r="A493" t="s">
        <v>503</v>
      </c>
      <c r="B493" t="s">
        <v>1024</v>
      </c>
      <c r="C493">
        <v>15</v>
      </c>
      <c r="D493">
        <v>0</v>
      </c>
      <c r="E493" t="s">
        <v>1025</v>
      </c>
      <c r="F493" t="s">
        <v>1032</v>
      </c>
      <c r="G493" t="s">
        <v>1</v>
      </c>
      <c r="H493" t="s">
        <v>2</v>
      </c>
      <c r="I493" t="s">
        <v>1027</v>
      </c>
      <c r="J493" s="1">
        <v>46176</v>
      </c>
      <c r="K493" t="s">
        <v>1038</v>
      </c>
    </row>
    <row r="494" spans="1:11" x14ac:dyDescent="0.45">
      <c r="A494" t="s">
        <v>504</v>
      </c>
      <c r="B494" t="s">
        <v>1029</v>
      </c>
      <c r="C494">
        <v>50</v>
      </c>
      <c r="D494">
        <v>22</v>
      </c>
      <c r="E494" t="s">
        <v>1034</v>
      </c>
      <c r="F494" t="s">
        <v>1033</v>
      </c>
      <c r="G494" t="s">
        <v>1035</v>
      </c>
      <c r="H494" t="s">
        <v>3</v>
      </c>
      <c r="I494" t="s">
        <v>1027</v>
      </c>
      <c r="J494" s="1">
        <v>46176</v>
      </c>
      <c r="K494" t="s">
        <v>1038</v>
      </c>
    </row>
    <row r="495" spans="1:11" x14ac:dyDescent="0.45">
      <c r="A495" t="s">
        <v>505</v>
      </c>
      <c r="B495" t="s">
        <v>1030</v>
      </c>
      <c r="C495">
        <v>42</v>
      </c>
      <c r="D495">
        <v>1</v>
      </c>
      <c r="E495" t="s">
        <v>1025</v>
      </c>
      <c r="F495" t="s">
        <v>1033</v>
      </c>
      <c r="G495" t="s">
        <v>1</v>
      </c>
      <c r="H495" t="s">
        <v>2</v>
      </c>
      <c r="I495" t="s">
        <v>1027</v>
      </c>
      <c r="J495" s="1">
        <v>46176</v>
      </c>
      <c r="K495" t="s">
        <v>1038</v>
      </c>
    </row>
    <row r="496" spans="1:11" x14ac:dyDescent="0.45">
      <c r="A496" t="s">
        <v>506</v>
      </c>
      <c r="B496" t="s">
        <v>1024</v>
      </c>
      <c r="C496">
        <v>10</v>
      </c>
      <c r="D496">
        <v>4</v>
      </c>
      <c r="E496" t="s">
        <v>1025</v>
      </c>
      <c r="F496" t="s">
        <v>1033</v>
      </c>
      <c r="G496" t="s">
        <v>1</v>
      </c>
      <c r="H496" t="s">
        <v>2</v>
      </c>
      <c r="I496" t="s">
        <v>1027</v>
      </c>
      <c r="J496" s="1">
        <v>46176</v>
      </c>
      <c r="K496" t="s">
        <v>1038</v>
      </c>
    </row>
    <row r="497" spans="1:11" x14ac:dyDescent="0.45">
      <c r="A497" t="s">
        <v>507</v>
      </c>
      <c r="B497" t="s">
        <v>1024</v>
      </c>
      <c r="C497">
        <v>22</v>
      </c>
      <c r="D497">
        <v>1</v>
      </c>
      <c r="E497" t="s">
        <v>1025</v>
      </c>
      <c r="F497" t="s">
        <v>1026</v>
      </c>
      <c r="G497" t="s">
        <v>1</v>
      </c>
      <c r="H497" t="s">
        <v>2</v>
      </c>
      <c r="I497" t="s">
        <v>1027</v>
      </c>
      <c r="J497" s="1">
        <v>46176</v>
      </c>
      <c r="K497" t="s">
        <v>1038</v>
      </c>
    </row>
    <row r="498" spans="1:11" x14ac:dyDescent="0.45">
      <c r="A498" t="s">
        <v>508</v>
      </c>
      <c r="B498" t="s">
        <v>1029</v>
      </c>
      <c r="C498">
        <v>65</v>
      </c>
      <c r="D498">
        <v>2</v>
      </c>
      <c r="E498" t="s">
        <v>1025</v>
      </c>
      <c r="F498" t="s">
        <v>1031</v>
      </c>
      <c r="G498" t="s">
        <v>1</v>
      </c>
      <c r="H498" t="s">
        <v>2</v>
      </c>
      <c r="I498" t="s">
        <v>1027</v>
      </c>
      <c r="J498" s="1">
        <v>46176</v>
      </c>
      <c r="K498" t="s">
        <v>1038</v>
      </c>
    </row>
    <row r="499" spans="1:11" x14ac:dyDescent="0.45">
      <c r="A499" t="s">
        <v>509</v>
      </c>
      <c r="B499" t="s">
        <v>1024</v>
      </c>
      <c r="C499">
        <v>11</v>
      </c>
      <c r="D499">
        <v>0</v>
      </c>
      <c r="E499" t="s">
        <v>1025</v>
      </c>
      <c r="F499" t="s">
        <v>1032</v>
      </c>
      <c r="G499" t="s">
        <v>1</v>
      </c>
      <c r="H499" t="s">
        <v>2</v>
      </c>
      <c r="I499" t="s">
        <v>1027</v>
      </c>
      <c r="J499" s="1">
        <v>46176</v>
      </c>
      <c r="K499" t="s">
        <v>1038</v>
      </c>
    </row>
    <row r="500" spans="1:11" x14ac:dyDescent="0.45">
      <c r="A500" t="s">
        <v>510</v>
      </c>
      <c r="B500" t="s">
        <v>1030</v>
      </c>
      <c r="C500">
        <v>34</v>
      </c>
      <c r="D500">
        <v>0</v>
      </c>
      <c r="E500" t="s">
        <v>1025</v>
      </c>
      <c r="F500" t="s">
        <v>1031</v>
      </c>
      <c r="G500" t="s">
        <v>1</v>
      </c>
      <c r="H500" t="s">
        <v>2</v>
      </c>
      <c r="I500" t="s">
        <v>1027</v>
      </c>
      <c r="J500" s="1">
        <v>46176</v>
      </c>
      <c r="K500" t="s">
        <v>1038</v>
      </c>
    </row>
    <row r="501" spans="1:11" x14ac:dyDescent="0.45">
      <c r="A501" t="s">
        <v>511</v>
      </c>
      <c r="B501" t="s">
        <v>1030</v>
      </c>
      <c r="C501">
        <v>48</v>
      </c>
      <c r="D501">
        <v>1</v>
      </c>
      <c r="E501" t="s">
        <v>1025</v>
      </c>
      <c r="F501" t="s">
        <v>1033</v>
      </c>
      <c r="G501" t="s">
        <v>1</v>
      </c>
      <c r="H501" t="s">
        <v>2</v>
      </c>
      <c r="I501" t="s">
        <v>1027</v>
      </c>
      <c r="J501" s="1">
        <v>46176</v>
      </c>
      <c r="K501" t="s">
        <v>1038</v>
      </c>
    </row>
    <row r="502" spans="1:11" x14ac:dyDescent="0.45">
      <c r="A502" t="s">
        <v>512</v>
      </c>
      <c r="B502" t="s">
        <v>1029</v>
      </c>
      <c r="C502">
        <v>58</v>
      </c>
      <c r="D502">
        <v>1</v>
      </c>
      <c r="E502" t="s">
        <v>1025</v>
      </c>
      <c r="F502" t="s">
        <v>1033</v>
      </c>
      <c r="G502" t="s">
        <v>1</v>
      </c>
      <c r="H502" t="s">
        <v>2</v>
      </c>
      <c r="I502" t="s">
        <v>1027</v>
      </c>
      <c r="J502" s="1">
        <v>46176</v>
      </c>
      <c r="K502" t="s">
        <v>1038</v>
      </c>
    </row>
    <row r="503" spans="1:11" x14ac:dyDescent="0.45">
      <c r="A503" t="s">
        <v>513</v>
      </c>
      <c r="B503" t="s">
        <v>1024</v>
      </c>
      <c r="C503">
        <v>14</v>
      </c>
      <c r="D503">
        <v>2</v>
      </c>
      <c r="E503" t="s">
        <v>1025</v>
      </c>
      <c r="F503" t="s">
        <v>1032</v>
      </c>
      <c r="G503" t="s">
        <v>1</v>
      </c>
      <c r="H503" t="s">
        <v>2</v>
      </c>
      <c r="I503" t="s">
        <v>1027</v>
      </c>
      <c r="J503" s="1">
        <v>46176</v>
      </c>
      <c r="K503" t="s">
        <v>1038</v>
      </c>
    </row>
    <row r="504" spans="1:11" x14ac:dyDescent="0.45">
      <c r="A504" t="s">
        <v>514</v>
      </c>
      <c r="B504" t="s">
        <v>1030</v>
      </c>
      <c r="C504">
        <v>32</v>
      </c>
      <c r="D504">
        <v>2</v>
      </c>
      <c r="E504" t="s">
        <v>1025</v>
      </c>
      <c r="F504" t="s">
        <v>1033</v>
      </c>
      <c r="G504" t="s">
        <v>1</v>
      </c>
      <c r="H504" t="s">
        <v>2</v>
      </c>
      <c r="I504" t="s">
        <v>1027</v>
      </c>
      <c r="J504" s="1">
        <v>46176</v>
      </c>
      <c r="K504" t="s">
        <v>1038</v>
      </c>
    </row>
    <row r="505" spans="1:11" x14ac:dyDescent="0.45">
      <c r="A505" t="s">
        <v>515</v>
      </c>
      <c r="B505" t="s">
        <v>1029</v>
      </c>
      <c r="C505">
        <v>60</v>
      </c>
      <c r="D505">
        <v>2</v>
      </c>
      <c r="E505" t="s">
        <v>1025</v>
      </c>
      <c r="F505" t="s">
        <v>1026</v>
      </c>
      <c r="G505" t="s">
        <v>1</v>
      </c>
      <c r="H505" t="s">
        <v>2</v>
      </c>
      <c r="I505" t="s">
        <v>1027</v>
      </c>
      <c r="J505" s="1">
        <v>46176</v>
      </c>
      <c r="K505" t="s">
        <v>1038</v>
      </c>
    </row>
    <row r="506" spans="1:11" x14ac:dyDescent="0.45">
      <c r="A506" t="s">
        <v>516</v>
      </c>
      <c r="B506" t="s">
        <v>1029</v>
      </c>
      <c r="C506">
        <v>54</v>
      </c>
      <c r="D506">
        <v>1</v>
      </c>
      <c r="E506" t="s">
        <v>1025</v>
      </c>
      <c r="F506" t="s">
        <v>1032</v>
      </c>
      <c r="G506" t="s">
        <v>1</v>
      </c>
      <c r="H506" t="s">
        <v>2</v>
      </c>
      <c r="I506" t="s">
        <v>1027</v>
      </c>
      <c r="J506" s="1">
        <v>46176</v>
      </c>
      <c r="K506" t="s">
        <v>1038</v>
      </c>
    </row>
    <row r="507" spans="1:11" x14ac:dyDescent="0.45">
      <c r="A507" t="s">
        <v>517</v>
      </c>
      <c r="B507" t="s">
        <v>1029</v>
      </c>
      <c r="C507">
        <v>59</v>
      </c>
      <c r="D507">
        <v>4</v>
      </c>
      <c r="E507" t="s">
        <v>1025</v>
      </c>
      <c r="F507" t="s">
        <v>1032</v>
      </c>
      <c r="G507" t="s">
        <v>1</v>
      </c>
      <c r="H507" t="s">
        <v>2</v>
      </c>
      <c r="I507" t="s">
        <v>1027</v>
      </c>
      <c r="J507" s="1">
        <v>46176</v>
      </c>
      <c r="K507" t="s">
        <v>1038</v>
      </c>
    </row>
    <row r="508" spans="1:11" x14ac:dyDescent="0.45">
      <c r="A508" t="s">
        <v>518</v>
      </c>
      <c r="B508" t="s">
        <v>1030</v>
      </c>
      <c r="C508">
        <v>30</v>
      </c>
      <c r="D508">
        <v>35</v>
      </c>
      <c r="E508" t="s">
        <v>1034</v>
      </c>
      <c r="F508" t="s">
        <v>1032</v>
      </c>
      <c r="G508" t="s">
        <v>1035</v>
      </c>
      <c r="H508" t="s">
        <v>3</v>
      </c>
      <c r="I508" t="s">
        <v>1027</v>
      </c>
      <c r="J508" s="1">
        <v>46176</v>
      </c>
      <c r="K508" t="s">
        <v>1038</v>
      </c>
    </row>
    <row r="509" spans="1:11" x14ac:dyDescent="0.45">
      <c r="A509" t="s">
        <v>519</v>
      </c>
      <c r="B509" t="s">
        <v>1030</v>
      </c>
      <c r="C509">
        <v>43</v>
      </c>
      <c r="D509">
        <v>1</v>
      </c>
      <c r="E509" t="s">
        <v>1025</v>
      </c>
      <c r="F509" t="s">
        <v>1032</v>
      </c>
      <c r="G509" t="s">
        <v>1</v>
      </c>
      <c r="H509" t="s">
        <v>2</v>
      </c>
      <c r="I509" t="s">
        <v>1027</v>
      </c>
      <c r="J509" s="1">
        <v>46176</v>
      </c>
      <c r="K509" t="s">
        <v>1038</v>
      </c>
    </row>
    <row r="510" spans="1:11" x14ac:dyDescent="0.45">
      <c r="A510" t="s">
        <v>520</v>
      </c>
      <c r="B510" t="s">
        <v>1030</v>
      </c>
      <c r="C510">
        <v>38</v>
      </c>
      <c r="D510">
        <v>14</v>
      </c>
      <c r="E510" t="s">
        <v>1036</v>
      </c>
      <c r="F510" t="s">
        <v>1032</v>
      </c>
      <c r="G510" t="s">
        <v>1035</v>
      </c>
      <c r="H510" t="s">
        <v>3</v>
      </c>
      <c r="I510" t="s">
        <v>1027</v>
      </c>
      <c r="J510" s="1">
        <v>46176</v>
      </c>
      <c r="K510" t="s">
        <v>1038</v>
      </c>
    </row>
    <row r="511" spans="1:11" x14ac:dyDescent="0.45">
      <c r="A511" t="s">
        <v>521</v>
      </c>
      <c r="B511" t="s">
        <v>1029</v>
      </c>
      <c r="C511">
        <v>50</v>
      </c>
      <c r="D511">
        <v>0</v>
      </c>
      <c r="E511" t="s">
        <v>1025</v>
      </c>
      <c r="F511" t="s">
        <v>1031</v>
      </c>
      <c r="G511" t="s">
        <v>1</v>
      </c>
      <c r="H511" t="s">
        <v>2</v>
      </c>
      <c r="I511" t="s">
        <v>1027</v>
      </c>
      <c r="J511" s="1">
        <v>46176</v>
      </c>
      <c r="K511" t="s">
        <v>1038</v>
      </c>
    </row>
    <row r="512" spans="1:11" x14ac:dyDescent="0.45">
      <c r="A512" t="s">
        <v>522</v>
      </c>
      <c r="B512" t="s">
        <v>1029</v>
      </c>
      <c r="C512">
        <v>61</v>
      </c>
      <c r="D512">
        <v>1</v>
      </c>
      <c r="E512" t="s">
        <v>1025</v>
      </c>
      <c r="F512" t="s">
        <v>1031</v>
      </c>
      <c r="G512" t="s">
        <v>1</v>
      </c>
      <c r="H512" t="s">
        <v>2</v>
      </c>
      <c r="I512" t="s">
        <v>1027</v>
      </c>
      <c r="J512" s="1">
        <v>46176</v>
      </c>
      <c r="K512" t="s">
        <v>1038</v>
      </c>
    </row>
    <row r="513" spans="1:11" x14ac:dyDescent="0.45">
      <c r="A513" t="s">
        <v>523</v>
      </c>
      <c r="B513" t="s">
        <v>1030</v>
      </c>
      <c r="C513">
        <v>39</v>
      </c>
      <c r="D513">
        <v>5</v>
      </c>
      <c r="E513" t="s">
        <v>1025</v>
      </c>
      <c r="F513" t="s">
        <v>1031</v>
      </c>
      <c r="G513" t="s">
        <v>1</v>
      </c>
      <c r="H513" t="s">
        <v>2</v>
      </c>
      <c r="I513" t="s">
        <v>1027</v>
      </c>
      <c r="J513" s="1">
        <v>46176</v>
      </c>
      <c r="K513" t="s">
        <v>1038</v>
      </c>
    </row>
    <row r="514" spans="1:11" x14ac:dyDescent="0.45">
      <c r="A514" t="s">
        <v>524</v>
      </c>
      <c r="B514" t="s">
        <v>1030</v>
      </c>
      <c r="C514">
        <v>39</v>
      </c>
      <c r="D514">
        <v>24</v>
      </c>
      <c r="E514" t="s">
        <v>1034</v>
      </c>
      <c r="F514" t="s">
        <v>1026</v>
      </c>
      <c r="G514" t="s">
        <v>1035</v>
      </c>
      <c r="H514" t="s">
        <v>3</v>
      </c>
      <c r="I514" t="s">
        <v>1027</v>
      </c>
      <c r="J514" s="1">
        <v>46176</v>
      </c>
      <c r="K514" t="s">
        <v>1038</v>
      </c>
    </row>
    <row r="515" spans="1:11" x14ac:dyDescent="0.45">
      <c r="A515" t="s">
        <v>525</v>
      </c>
      <c r="B515" t="s">
        <v>1024</v>
      </c>
      <c r="C515">
        <v>15</v>
      </c>
      <c r="D515">
        <v>5</v>
      </c>
      <c r="E515" t="s">
        <v>1025</v>
      </c>
      <c r="F515" t="s">
        <v>1033</v>
      </c>
      <c r="G515" t="s">
        <v>1</v>
      </c>
      <c r="H515" t="s">
        <v>2</v>
      </c>
      <c r="I515" t="s">
        <v>1027</v>
      </c>
      <c r="J515" s="1">
        <v>46176</v>
      </c>
      <c r="K515" t="s">
        <v>1038</v>
      </c>
    </row>
    <row r="516" spans="1:11" x14ac:dyDescent="0.45">
      <c r="A516" t="s">
        <v>526</v>
      </c>
      <c r="B516" t="s">
        <v>1024</v>
      </c>
      <c r="C516">
        <v>17</v>
      </c>
      <c r="D516">
        <v>1</v>
      </c>
      <c r="E516" t="s">
        <v>1025</v>
      </c>
      <c r="F516" t="s">
        <v>1032</v>
      </c>
      <c r="G516" t="s">
        <v>1</v>
      </c>
      <c r="H516" t="s">
        <v>2</v>
      </c>
      <c r="I516" t="s">
        <v>1027</v>
      </c>
      <c r="J516" s="1">
        <v>46176</v>
      </c>
      <c r="K516" t="s">
        <v>1038</v>
      </c>
    </row>
    <row r="517" spans="1:11" x14ac:dyDescent="0.45">
      <c r="A517" t="s">
        <v>527</v>
      </c>
      <c r="B517" t="s">
        <v>1029</v>
      </c>
      <c r="C517">
        <v>48</v>
      </c>
      <c r="D517">
        <v>0</v>
      </c>
      <c r="E517" t="s">
        <v>1025</v>
      </c>
      <c r="F517" t="s">
        <v>1031</v>
      </c>
      <c r="G517" t="s">
        <v>1</v>
      </c>
      <c r="H517" t="s">
        <v>2</v>
      </c>
      <c r="I517" t="s">
        <v>1027</v>
      </c>
      <c r="J517" s="1">
        <v>46176</v>
      </c>
      <c r="K517" t="s">
        <v>1038</v>
      </c>
    </row>
    <row r="518" spans="1:11" x14ac:dyDescent="0.45">
      <c r="A518" t="s">
        <v>528</v>
      </c>
      <c r="B518" t="s">
        <v>1029</v>
      </c>
      <c r="C518">
        <v>62</v>
      </c>
      <c r="D518">
        <v>5</v>
      </c>
      <c r="E518" t="s">
        <v>1025</v>
      </c>
      <c r="F518" t="s">
        <v>1031</v>
      </c>
      <c r="G518" t="s">
        <v>1</v>
      </c>
      <c r="H518" t="s">
        <v>2</v>
      </c>
      <c r="I518" t="s">
        <v>1027</v>
      </c>
      <c r="J518" s="1">
        <v>46176</v>
      </c>
      <c r="K518" t="s">
        <v>1038</v>
      </c>
    </row>
    <row r="519" spans="1:11" x14ac:dyDescent="0.45">
      <c r="A519" t="s">
        <v>529</v>
      </c>
      <c r="B519" t="s">
        <v>1030</v>
      </c>
      <c r="C519">
        <v>40</v>
      </c>
      <c r="D519">
        <v>2</v>
      </c>
      <c r="E519" t="s">
        <v>1025</v>
      </c>
      <c r="F519" t="s">
        <v>1026</v>
      </c>
      <c r="G519" t="s">
        <v>1</v>
      </c>
      <c r="H519" t="s">
        <v>2</v>
      </c>
      <c r="I519" t="s">
        <v>1027</v>
      </c>
      <c r="J519" s="1">
        <v>46176</v>
      </c>
      <c r="K519" t="s">
        <v>1038</v>
      </c>
    </row>
    <row r="520" spans="1:11" x14ac:dyDescent="0.45">
      <c r="A520" t="s">
        <v>530</v>
      </c>
      <c r="B520" t="s">
        <v>1030</v>
      </c>
      <c r="C520">
        <v>39</v>
      </c>
      <c r="D520">
        <v>5</v>
      </c>
      <c r="E520" t="s">
        <v>1025</v>
      </c>
      <c r="F520" t="s">
        <v>1033</v>
      </c>
      <c r="G520" t="s">
        <v>1</v>
      </c>
      <c r="H520" t="s">
        <v>2</v>
      </c>
      <c r="I520" t="s">
        <v>1027</v>
      </c>
      <c r="J520" s="1">
        <v>46176</v>
      </c>
      <c r="K520" t="s">
        <v>1038</v>
      </c>
    </row>
    <row r="521" spans="1:11" x14ac:dyDescent="0.45">
      <c r="A521" t="s">
        <v>531</v>
      </c>
      <c r="B521" t="s">
        <v>1024</v>
      </c>
      <c r="C521">
        <v>12</v>
      </c>
      <c r="D521">
        <v>0</v>
      </c>
      <c r="E521" t="s">
        <v>1025</v>
      </c>
      <c r="F521" t="s">
        <v>1031</v>
      </c>
      <c r="G521" t="s">
        <v>1</v>
      </c>
      <c r="H521" t="s">
        <v>2</v>
      </c>
      <c r="I521" t="s">
        <v>1027</v>
      </c>
      <c r="J521" s="1">
        <v>46176</v>
      </c>
      <c r="K521" t="s">
        <v>1038</v>
      </c>
    </row>
    <row r="522" spans="1:11" x14ac:dyDescent="0.45">
      <c r="A522" t="s">
        <v>532</v>
      </c>
      <c r="B522" t="s">
        <v>1029</v>
      </c>
      <c r="C522">
        <v>59</v>
      </c>
      <c r="D522">
        <v>0</v>
      </c>
      <c r="E522" t="s">
        <v>1025</v>
      </c>
      <c r="F522" t="s">
        <v>1033</v>
      </c>
      <c r="G522" t="s">
        <v>1</v>
      </c>
      <c r="H522" t="s">
        <v>2</v>
      </c>
      <c r="I522" t="s">
        <v>1027</v>
      </c>
      <c r="J522" s="1">
        <v>46176</v>
      </c>
      <c r="K522" t="s">
        <v>1038</v>
      </c>
    </row>
    <row r="523" spans="1:11" x14ac:dyDescent="0.45">
      <c r="A523" t="s">
        <v>533</v>
      </c>
      <c r="B523" t="s">
        <v>1030</v>
      </c>
      <c r="C523">
        <v>36</v>
      </c>
      <c r="D523">
        <v>5</v>
      </c>
      <c r="E523" t="s">
        <v>1025</v>
      </c>
      <c r="F523" t="s">
        <v>1032</v>
      </c>
      <c r="G523" t="s">
        <v>1</v>
      </c>
      <c r="H523" t="s">
        <v>2</v>
      </c>
      <c r="I523" t="s">
        <v>1027</v>
      </c>
      <c r="J523" s="1">
        <v>46176</v>
      </c>
      <c r="K523" t="s">
        <v>1038</v>
      </c>
    </row>
    <row r="524" spans="1:11" x14ac:dyDescent="0.45">
      <c r="A524" t="s">
        <v>534</v>
      </c>
      <c r="B524" t="s">
        <v>1024</v>
      </c>
      <c r="C524">
        <v>14</v>
      </c>
      <c r="D524">
        <v>4</v>
      </c>
      <c r="E524" t="s">
        <v>1025</v>
      </c>
      <c r="F524" t="s">
        <v>1026</v>
      </c>
      <c r="G524" t="s">
        <v>1</v>
      </c>
      <c r="H524" t="s">
        <v>2</v>
      </c>
      <c r="I524" t="s">
        <v>1027</v>
      </c>
      <c r="J524" s="1">
        <v>46176</v>
      </c>
      <c r="K524" t="s">
        <v>1038</v>
      </c>
    </row>
    <row r="525" spans="1:11" x14ac:dyDescent="0.45">
      <c r="A525" t="s">
        <v>535</v>
      </c>
      <c r="B525" t="s">
        <v>1030</v>
      </c>
      <c r="C525">
        <v>32</v>
      </c>
      <c r="D525">
        <v>3</v>
      </c>
      <c r="E525" t="s">
        <v>1025</v>
      </c>
      <c r="F525" t="s">
        <v>1033</v>
      </c>
      <c r="G525" t="s">
        <v>1</v>
      </c>
      <c r="H525" t="s">
        <v>2</v>
      </c>
      <c r="I525" t="s">
        <v>1027</v>
      </c>
      <c r="J525" s="1">
        <v>46176</v>
      </c>
      <c r="K525" t="s">
        <v>1038</v>
      </c>
    </row>
    <row r="526" spans="1:11" x14ac:dyDescent="0.45">
      <c r="A526" t="s">
        <v>536</v>
      </c>
      <c r="B526" t="s">
        <v>1030</v>
      </c>
      <c r="C526">
        <v>35</v>
      </c>
      <c r="D526">
        <v>32</v>
      </c>
      <c r="E526" t="s">
        <v>1034</v>
      </c>
      <c r="F526" t="s">
        <v>1033</v>
      </c>
      <c r="G526" t="s">
        <v>1035</v>
      </c>
      <c r="H526" t="s">
        <v>3</v>
      </c>
      <c r="I526" t="s">
        <v>1027</v>
      </c>
      <c r="J526" s="1">
        <v>46176</v>
      </c>
      <c r="K526" t="s">
        <v>1038</v>
      </c>
    </row>
    <row r="527" spans="1:11" x14ac:dyDescent="0.45">
      <c r="A527" t="s">
        <v>537</v>
      </c>
      <c r="B527" t="s">
        <v>1030</v>
      </c>
      <c r="C527">
        <v>33</v>
      </c>
      <c r="D527">
        <v>5</v>
      </c>
      <c r="E527" t="s">
        <v>1025</v>
      </c>
      <c r="F527" t="s">
        <v>1031</v>
      </c>
      <c r="G527" t="s">
        <v>1</v>
      </c>
      <c r="H527" t="s">
        <v>2</v>
      </c>
      <c r="I527" t="s">
        <v>1027</v>
      </c>
      <c r="J527" s="1">
        <v>46176</v>
      </c>
      <c r="K527" t="s">
        <v>1038</v>
      </c>
    </row>
    <row r="528" spans="1:11" x14ac:dyDescent="0.45">
      <c r="A528" t="s">
        <v>538</v>
      </c>
      <c r="B528" t="s">
        <v>1029</v>
      </c>
      <c r="C528">
        <v>56</v>
      </c>
      <c r="D528">
        <v>1</v>
      </c>
      <c r="E528" t="s">
        <v>1025</v>
      </c>
      <c r="F528" t="s">
        <v>1032</v>
      </c>
      <c r="G528" t="s">
        <v>1</v>
      </c>
      <c r="H528" t="s">
        <v>2</v>
      </c>
      <c r="I528" t="s">
        <v>1027</v>
      </c>
      <c r="J528" s="1">
        <v>46176</v>
      </c>
      <c r="K528" t="s">
        <v>1038</v>
      </c>
    </row>
    <row r="529" spans="1:11" x14ac:dyDescent="0.45">
      <c r="A529" t="s">
        <v>539</v>
      </c>
      <c r="B529" t="s">
        <v>1029</v>
      </c>
      <c r="C529">
        <v>45</v>
      </c>
      <c r="D529">
        <v>2</v>
      </c>
      <c r="E529" t="s">
        <v>1025</v>
      </c>
      <c r="F529" t="s">
        <v>1033</v>
      </c>
      <c r="G529" t="s">
        <v>1</v>
      </c>
      <c r="H529" t="s">
        <v>2</v>
      </c>
      <c r="I529" t="s">
        <v>1027</v>
      </c>
      <c r="J529" s="1">
        <v>46176</v>
      </c>
      <c r="K529" t="s">
        <v>1038</v>
      </c>
    </row>
    <row r="530" spans="1:11" x14ac:dyDescent="0.45">
      <c r="A530" t="s">
        <v>540</v>
      </c>
      <c r="B530" t="s">
        <v>1024</v>
      </c>
      <c r="C530">
        <v>18</v>
      </c>
      <c r="D530">
        <v>1</v>
      </c>
      <c r="E530" t="s">
        <v>1025</v>
      </c>
      <c r="F530" t="s">
        <v>1032</v>
      </c>
      <c r="G530" t="s">
        <v>1</v>
      </c>
      <c r="H530" t="s">
        <v>2</v>
      </c>
      <c r="I530" t="s">
        <v>1027</v>
      </c>
      <c r="J530" s="1">
        <v>46176</v>
      </c>
      <c r="K530" t="s">
        <v>1038</v>
      </c>
    </row>
    <row r="531" spans="1:11" x14ac:dyDescent="0.45">
      <c r="A531" t="s">
        <v>541</v>
      </c>
      <c r="B531" t="s">
        <v>1029</v>
      </c>
      <c r="C531">
        <v>60</v>
      </c>
      <c r="D531">
        <v>1</v>
      </c>
      <c r="E531" t="s">
        <v>1025</v>
      </c>
      <c r="F531" t="s">
        <v>1031</v>
      </c>
      <c r="G531" t="s">
        <v>1</v>
      </c>
      <c r="H531" t="s">
        <v>2</v>
      </c>
      <c r="I531" t="s">
        <v>1027</v>
      </c>
      <c r="J531" s="1">
        <v>46176</v>
      </c>
      <c r="K531" t="s">
        <v>1038</v>
      </c>
    </row>
    <row r="532" spans="1:11" x14ac:dyDescent="0.45">
      <c r="A532" t="s">
        <v>542</v>
      </c>
      <c r="B532" t="s">
        <v>1030</v>
      </c>
      <c r="C532">
        <v>32</v>
      </c>
      <c r="D532">
        <v>2</v>
      </c>
      <c r="E532" t="s">
        <v>1025</v>
      </c>
      <c r="F532" t="s">
        <v>1032</v>
      </c>
      <c r="G532" t="s">
        <v>1</v>
      </c>
      <c r="H532" t="s">
        <v>2</v>
      </c>
      <c r="I532" t="s">
        <v>1027</v>
      </c>
      <c r="J532" s="1">
        <v>46176</v>
      </c>
      <c r="K532" t="s">
        <v>1038</v>
      </c>
    </row>
    <row r="533" spans="1:11" x14ac:dyDescent="0.45">
      <c r="A533" t="s">
        <v>543</v>
      </c>
      <c r="B533" t="s">
        <v>1024</v>
      </c>
      <c r="C533">
        <v>19</v>
      </c>
      <c r="D533">
        <v>4</v>
      </c>
      <c r="E533" t="s">
        <v>1025</v>
      </c>
      <c r="F533" t="s">
        <v>1026</v>
      </c>
      <c r="G533" t="s">
        <v>1</v>
      </c>
      <c r="H533" t="s">
        <v>2</v>
      </c>
      <c r="I533" t="s">
        <v>1027</v>
      </c>
      <c r="J533" s="1">
        <v>46176</v>
      </c>
      <c r="K533" t="s">
        <v>1038</v>
      </c>
    </row>
    <row r="534" spans="1:11" x14ac:dyDescent="0.45">
      <c r="A534" t="s">
        <v>544</v>
      </c>
      <c r="B534" t="s">
        <v>1024</v>
      </c>
      <c r="C534">
        <v>11</v>
      </c>
      <c r="D534">
        <v>2</v>
      </c>
      <c r="E534" t="s">
        <v>1025</v>
      </c>
      <c r="F534" t="s">
        <v>1032</v>
      </c>
      <c r="G534" t="s">
        <v>1</v>
      </c>
      <c r="H534" t="s">
        <v>2</v>
      </c>
      <c r="I534" t="s">
        <v>1027</v>
      </c>
      <c r="J534" s="1">
        <v>46176</v>
      </c>
      <c r="K534" t="s">
        <v>1038</v>
      </c>
    </row>
    <row r="535" spans="1:11" x14ac:dyDescent="0.45">
      <c r="A535" t="s">
        <v>545</v>
      </c>
      <c r="B535" t="s">
        <v>1029</v>
      </c>
      <c r="C535">
        <v>49</v>
      </c>
      <c r="D535">
        <v>2</v>
      </c>
      <c r="E535" t="s">
        <v>1025</v>
      </c>
      <c r="F535" t="s">
        <v>1032</v>
      </c>
      <c r="G535" t="s">
        <v>1</v>
      </c>
      <c r="H535" t="s">
        <v>2</v>
      </c>
      <c r="I535" t="s">
        <v>1027</v>
      </c>
      <c r="J535" s="1">
        <v>46176</v>
      </c>
      <c r="K535" t="s">
        <v>1038</v>
      </c>
    </row>
    <row r="536" spans="1:11" x14ac:dyDescent="0.45">
      <c r="A536" t="s">
        <v>546</v>
      </c>
      <c r="B536" t="s">
        <v>1030</v>
      </c>
      <c r="C536">
        <v>36</v>
      </c>
      <c r="D536">
        <v>0</v>
      </c>
      <c r="E536" t="s">
        <v>1025</v>
      </c>
      <c r="F536" t="s">
        <v>1033</v>
      </c>
      <c r="G536" t="s">
        <v>1</v>
      </c>
      <c r="H536" t="s">
        <v>2</v>
      </c>
      <c r="I536" t="s">
        <v>1027</v>
      </c>
      <c r="J536" s="1">
        <v>46176</v>
      </c>
      <c r="K536" t="s">
        <v>1038</v>
      </c>
    </row>
    <row r="537" spans="1:11" x14ac:dyDescent="0.45">
      <c r="A537" t="s">
        <v>547</v>
      </c>
      <c r="B537" t="s">
        <v>1024</v>
      </c>
      <c r="C537">
        <v>10</v>
      </c>
      <c r="D537">
        <v>0</v>
      </c>
      <c r="E537" t="s">
        <v>1025</v>
      </c>
      <c r="F537" t="s">
        <v>1026</v>
      </c>
      <c r="G537" t="s">
        <v>1</v>
      </c>
      <c r="H537" t="s">
        <v>2</v>
      </c>
      <c r="I537" t="s">
        <v>1027</v>
      </c>
      <c r="J537" s="1">
        <v>46176</v>
      </c>
      <c r="K537" t="s">
        <v>1038</v>
      </c>
    </row>
    <row r="538" spans="1:11" x14ac:dyDescent="0.45">
      <c r="A538" t="s">
        <v>548</v>
      </c>
      <c r="B538" t="s">
        <v>1024</v>
      </c>
      <c r="C538">
        <v>15</v>
      </c>
      <c r="D538">
        <v>1</v>
      </c>
      <c r="E538" t="s">
        <v>1025</v>
      </c>
      <c r="F538" t="s">
        <v>1026</v>
      </c>
      <c r="G538" t="s">
        <v>1</v>
      </c>
      <c r="H538" t="s">
        <v>2</v>
      </c>
      <c r="I538" t="s">
        <v>1027</v>
      </c>
      <c r="J538" s="1">
        <v>46176</v>
      </c>
      <c r="K538" t="s">
        <v>1038</v>
      </c>
    </row>
    <row r="539" spans="1:11" x14ac:dyDescent="0.45">
      <c r="A539" t="s">
        <v>549</v>
      </c>
      <c r="B539" t="s">
        <v>1029</v>
      </c>
      <c r="C539">
        <v>63</v>
      </c>
      <c r="D539">
        <v>34</v>
      </c>
      <c r="E539" t="s">
        <v>1034</v>
      </c>
      <c r="F539" t="s">
        <v>1033</v>
      </c>
      <c r="G539" t="s">
        <v>1035</v>
      </c>
      <c r="H539" t="s">
        <v>3</v>
      </c>
      <c r="I539" t="s">
        <v>1027</v>
      </c>
      <c r="J539" s="1">
        <v>46176</v>
      </c>
      <c r="K539" t="s">
        <v>1038</v>
      </c>
    </row>
    <row r="540" spans="1:11" x14ac:dyDescent="0.45">
      <c r="A540" t="s">
        <v>550</v>
      </c>
      <c r="B540" t="s">
        <v>1029</v>
      </c>
      <c r="C540">
        <v>63</v>
      </c>
      <c r="D540">
        <v>31</v>
      </c>
      <c r="E540" t="s">
        <v>1034</v>
      </c>
      <c r="F540" t="s">
        <v>1032</v>
      </c>
      <c r="G540" t="s">
        <v>1035</v>
      </c>
      <c r="H540" t="s">
        <v>3</v>
      </c>
      <c r="I540" t="s">
        <v>1027</v>
      </c>
      <c r="J540" s="1">
        <v>46176</v>
      </c>
      <c r="K540" t="s">
        <v>1038</v>
      </c>
    </row>
    <row r="541" spans="1:11" x14ac:dyDescent="0.45">
      <c r="A541" t="s">
        <v>551</v>
      </c>
      <c r="B541" t="s">
        <v>1030</v>
      </c>
      <c r="C541">
        <v>32</v>
      </c>
      <c r="D541">
        <v>3</v>
      </c>
      <c r="E541" t="s">
        <v>1025</v>
      </c>
      <c r="F541" t="s">
        <v>1033</v>
      </c>
      <c r="G541" t="s">
        <v>1</v>
      </c>
      <c r="H541" t="s">
        <v>2</v>
      </c>
      <c r="I541" t="s">
        <v>1027</v>
      </c>
      <c r="J541" s="1">
        <v>46176</v>
      </c>
      <c r="K541" t="s">
        <v>1038</v>
      </c>
    </row>
    <row r="542" spans="1:11" x14ac:dyDescent="0.45">
      <c r="A542" t="s">
        <v>552</v>
      </c>
      <c r="B542" t="s">
        <v>1030</v>
      </c>
      <c r="C542">
        <v>40</v>
      </c>
      <c r="D542">
        <v>2</v>
      </c>
      <c r="E542" t="s">
        <v>1025</v>
      </c>
      <c r="F542" t="s">
        <v>1031</v>
      </c>
      <c r="G542" t="s">
        <v>1</v>
      </c>
      <c r="H542" t="s">
        <v>2</v>
      </c>
      <c r="I542" t="s">
        <v>1027</v>
      </c>
      <c r="J542" s="1">
        <v>46176</v>
      </c>
      <c r="K542" t="s">
        <v>1038</v>
      </c>
    </row>
    <row r="543" spans="1:11" x14ac:dyDescent="0.45">
      <c r="A543" t="s">
        <v>553</v>
      </c>
      <c r="B543" t="s">
        <v>1030</v>
      </c>
      <c r="C543">
        <v>45</v>
      </c>
      <c r="D543">
        <v>1</v>
      </c>
      <c r="E543" t="s">
        <v>1025</v>
      </c>
      <c r="F543" t="s">
        <v>1032</v>
      </c>
      <c r="G543" t="s">
        <v>1</v>
      </c>
      <c r="H543" t="s">
        <v>2</v>
      </c>
      <c r="I543" t="s">
        <v>1027</v>
      </c>
      <c r="J543" s="1">
        <v>46176</v>
      </c>
      <c r="K543" t="s">
        <v>1038</v>
      </c>
    </row>
    <row r="544" spans="1:11" x14ac:dyDescent="0.45">
      <c r="A544" t="s">
        <v>554</v>
      </c>
      <c r="B544" t="s">
        <v>1030</v>
      </c>
      <c r="C544">
        <v>42</v>
      </c>
      <c r="D544">
        <v>1</v>
      </c>
      <c r="E544" t="s">
        <v>1025</v>
      </c>
      <c r="F544" t="s">
        <v>1033</v>
      </c>
      <c r="G544" t="s">
        <v>1</v>
      </c>
      <c r="H544" t="s">
        <v>2</v>
      </c>
      <c r="I544" t="s">
        <v>1027</v>
      </c>
      <c r="J544" s="1">
        <v>46176</v>
      </c>
      <c r="K544" t="s">
        <v>1038</v>
      </c>
    </row>
    <row r="545" spans="1:11" x14ac:dyDescent="0.45">
      <c r="A545" t="s">
        <v>555</v>
      </c>
      <c r="B545" t="s">
        <v>1030</v>
      </c>
      <c r="C545">
        <v>47</v>
      </c>
      <c r="D545">
        <v>1</v>
      </c>
      <c r="E545" t="s">
        <v>1025</v>
      </c>
      <c r="F545" t="s">
        <v>1032</v>
      </c>
      <c r="G545" t="s">
        <v>1</v>
      </c>
      <c r="H545" t="s">
        <v>2</v>
      </c>
      <c r="I545" t="s">
        <v>1027</v>
      </c>
      <c r="J545" s="1">
        <v>46176</v>
      </c>
      <c r="K545" t="s">
        <v>1038</v>
      </c>
    </row>
    <row r="546" spans="1:11" x14ac:dyDescent="0.45">
      <c r="A546" t="s">
        <v>556</v>
      </c>
      <c r="B546" t="s">
        <v>1030</v>
      </c>
      <c r="C546">
        <v>31</v>
      </c>
      <c r="D546">
        <v>1</v>
      </c>
      <c r="E546" t="s">
        <v>1025</v>
      </c>
      <c r="F546" t="s">
        <v>1032</v>
      </c>
      <c r="G546" t="s">
        <v>1</v>
      </c>
      <c r="H546" t="s">
        <v>2</v>
      </c>
      <c r="I546" t="s">
        <v>1027</v>
      </c>
      <c r="J546" s="1">
        <v>46176</v>
      </c>
      <c r="K546" t="s">
        <v>1038</v>
      </c>
    </row>
    <row r="547" spans="1:11" x14ac:dyDescent="0.45">
      <c r="A547" t="s">
        <v>557</v>
      </c>
      <c r="B547" t="s">
        <v>1029</v>
      </c>
      <c r="C547">
        <v>46</v>
      </c>
      <c r="D547">
        <v>0</v>
      </c>
      <c r="E547" t="s">
        <v>1025</v>
      </c>
      <c r="F547" t="s">
        <v>1026</v>
      </c>
      <c r="G547" t="s">
        <v>1</v>
      </c>
      <c r="H547" t="s">
        <v>2</v>
      </c>
      <c r="I547" t="s">
        <v>1027</v>
      </c>
      <c r="J547" s="1">
        <v>46176</v>
      </c>
      <c r="K547" t="s">
        <v>1038</v>
      </c>
    </row>
    <row r="548" spans="1:11" x14ac:dyDescent="0.45">
      <c r="A548" t="s">
        <v>558</v>
      </c>
      <c r="B548" t="s">
        <v>1024</v>
      </c>
      <c r="C548">
        <v>20</v>
      </c>
      <c r="D548">
        <v>1</v>
      </c>
      <c r="E548" t="s">
        <v>1025</v>
      </c>
      <c r="F548" t="s">
        <v>1031</v>
      </c>
      <c r="G548" t="s">
        <v>1</v>
      </c>
      <c r="H548" t="s">
        <v>2</v>
      </c>
      <c r="I548" t="s">
        <v>1027</v>
      </c>
      <c r="J548" s="1">
        <v>46176</v>
      </c>
      <c r="K548" t="s">
        <v>1038</v>
      </c>
    </row>
    <row r="549" spans="1:11" x14ac:dyDescent="0.45">
      <c r="A549" t="s">
        <v>559</v>
      </c>
      <c r="B549" t="s">
        <v>1030</v>
      </c>
      <c r="C549">
        <v>31</v>
      </c>
      <c r="D549">
        <v>1</v>
      </c>
      <c r="E549" t="s">
        <v>1025</v>
      </c>
      <c r="F549" t="s">
        <v>1026</v>
      </c>
      <c r="G549" t="s">
        <v>1</v>
      </c>
      <c r="H549" t="s">
        <v>2</v>
      </c>
      <c r="I549" t="s">
        <v>1027</v>
      </c>
      <c r="J549" s="1">
        <v>46176</v>
      </c>
      <c r="K549" t="s">
        <v>1038</v>
      </c>
    </row>
    <row r="550" spans="1:11" x14ac:dyDescent="0.45">
      <c r="A550" t="s">
        <v>560</v>
      </c>
      <c r="B550" t="s">
        <v>1024</v>
      </c>
      <c r="C550">
        <v>21</v>
      </c>
      <c r="D550">
        <v>0</v>
      </c>
      <c r="E550" t="s">
        <v>1025</v>
      </c>
      <c r="F550" t="s">
        <v>1033</v>
      </c>
      <c r="G550" t="s">
        <v>1</v>
      </c>
      <c r="H550" t="s">
        <v>2</v>
      </c>
      <c r="I550" t="s">
        <v>1027</v>
      </c>
      <c r="J550" s="1">
        <v>46176</v>
      </c>
      <c r="K550" t="s">
        <v>1038</v>
      </c>
    </row>
    <row r="551" spans="1:11" x14ac:dyDescent="0.45">
      <c r="A551" t="s">
        <v>561</v>
      </c>
      <c r="B551" t="s">
        <v>1030</v>
      </c>
      <c r="C551">
        <v>39</v>
      </c>
      <c r="D551">
        <v>0</v>
      </c>
      <c r="E551" t="s">
        <v>1025</v>
      </c>
      <c r="F551" t="s">
        <v>1033</v>
      </c>
      <c r="G551" t="s">
        <v>1</v>
      </c>
      <c r="H551" t="s">
        <v>2</v>
      </c>
      <c r="I551" t="s">
        <v>1027</v>
      </c>
      <c r="J551" s="1">
        <v>46176</v>
      </c>
      <c r="K551" t="s">
        <v>1038</v>
      </c>
    </row>
    <row r="552" spans="1:11" x14ac:dyDescent="0.45">
      <c r="A552" t="s">
        <v>562</v>
      </c>
      <c r="B552" t="s">
        <v>1024</v>
      </c>
      <c r="C552">
        <v>13</v>
      </c>
      <c r="D552">
        <v>3</v>
      </c>
      <c r="E552" t="s">
        <v>1025</v>
      </c>
      <c r="F552" t="s">
        <v>1033</v>
      </c>
      <c r="G552" t="s">
        <v>1</v>
      </c>
      <c r="H552" t="s">
        <v>2</v>
      </c>
      <c r="I552" t="s">
        <v>1027</v>
      </c>
      <c r="J552" s="1">
        <v>46176</v>
      </c>
      <c r="K552" t="s">
        <v>1038</v>
      </c>
    </row>
    <row r="553" spans="1:11" x14ac:dyDescent="0.45">
      <c r="A553" t="s">
        <v>563</v>
      </c>
      <c r="B553" t="s">
        <v>1024</v>
      </c>
      <c r="C553">
        <v>18</v>
      </c>
      <c r="D553">
        <v>0</v>
      </c>
      <c r="E553" t="s">
        <v>1025</v>
      </c>
      <c r="F553" t="s">
        <v>1033</v>
      </c>
      <c r="G553" t="s">
        <v>1</v>
      </c>
      <c r="H553" t="s">
        <v>2</v>
      </c>
      <c r="I553" t="s">
        <v>1027</v>
      </c>
      <c r="J553" s="1">
        <v>46176</v>
      </c>
      <c r="K553" t="s">
        <v>1038</v>
      </c>
    </row>
    <row r="554" spans="1:11" x14ac:dyDescent="0.45">
      <c r="A554" t="s">
        <v>564</v>
      </c>
      <c r="B554" t="s">
        <v>1029</v>
      </c>
      <c r="C554">
        <v>65</v>
      </c>
      <c r="D554">
        <v>0</v>
      </c>
      <c r="E554" t="s">
        <v>1025</v>
      </c>
      <c r="F554" t="s">
        <v>1033</v>
      </c>
      <c r="G554" t="s">
        <v>1</v>
      </c>
      <c r="H554" t="s">
        <v>2</v>
      </c>
      <c r="I554" t="s">
        <v>1027</v>
      </c>
      <c r="J554" s="1">
        <v>46176</v>
      </c>
      <c r="K554" t="s">
        <v>1038</v>
      </c>
    </row>
    <row r="555" spans="1:11" x14ac:dyDescent="0.45">
      <c r="A555" t="s">
        <v>565</v>
      </c>
      <c r="B555" t="s">
        <v>1030</v>
      </c>
      <c r="C555">
        <v>43</v>
      </c>
      <c r="D555">
        <v>0</v>
      </c>
      <c r="E555" t="s">
        <v>1025</v>
      </c>
      <c r="F555" t="s">
        <v>1033</v>
      </c>
      <c r="G555" t="s">
        <v>1</v>
      </c>
      <c r="H555" t="s">
        <v>2</v>
      </c>
      <c r="I555" t="s">
        <v>1027</v>
      </c>
      <c r="J555" s="1">
        <v>46176</v>
      </c>
      <c r="K555" t="s">
        <v>1038</v>
      </c>
    </row>
    <row r="556" spans="1:11" x14ac:dyDescent="0.45">
      <c r="A556" t="s">
        <v>566</v>
      </c>
      <c r="B556" t="s">
        <v>1030</v>
      </c>
      <c r="C556">
        <v>34</v>
      </c>
      <c r="D556">
        <v>1</v>
      </c>
      <c r="E556" t="s">
        <v>1025</v>
      </c>
      <c r="F556" t="s">
        <v>1026</v>
      </c>
      <c r="G556" t="s">
        <v>1</v>
      </c>
      <c r="H556" t="s">
        <v>2</v>
      </c>
      <c r="I556" t="s">
        <v>1027</v>
      </c>
      <c r="J556" s="1">
        <v>46176</v>
      </c>
      <c r="K556" t="s">
        <v>1038</v>
      </c>
    </row>
    <row r="557" spans="1:11" x14ac:dyDescent="0.45">
      <c r="A557" t="s">
        <v>567</v>
      </c>
      <c r="B557" t="s">
        <v>1024</v>
      </c>
      <c r="C557">
        <v>11</v>
      </c>
      <c r="D557">
        <v>1</v>
      </c>
      <c r="E557" t="s">
        <v>1025</v>
      </c>
      <c r="F557" t="s">
        <v>1031</v>
      </c>
      <c r="G557" t="s">
        <v>1</v>
      </c>
      <c r="H557" t="s">
        <v>2</v>
      </c>
      <c r="I557" t="s">
        <v>1027</v>
      </c>
      <c r="J557" s="1">
        <v>46176</v>
      </c>
      <c r="K557" t="s">
        <v>1038</v>
      </c>
    </row>
    <row r="558" spans="1:11" x14ac:dyDescent="0.45">
      <c r="A558" t="s">
        <v>568</v>
      </c>
      <c r="B558" t="s">
        <v>1029</v>
      </c>
      <c r="C558">
        <v>52</v>
      </c>
      <c r="D558">
        <v>0</v>
      </c>
      <c r="E558" t="s">
        <v>1025</v>
      </c>
      <c r="F558" t="s">
        <v>1026</v>
      </c>
      <c r="G558" t="s">
        <v>1</v>
      </c>
      <c r="H558" t="s">
        <v>2</v>
      </c>
      <c r="I558" t="s">
        <v>1027</v>
      </c>
      <c r="J558" s="1">
        <v>46176</v>
      </c>
      <c r="K558" t="s">
        <v>1038</v>
      </c>
    </row>
    <row r="559" spans="1:11" x14ac:dyDescent="0.45">
      <c r="A559" t="s">
        <v>569</v>
      </c>
      <c r="B559" t="s">
        <v>1024</v>
      </c>
      <c r="C559">
        <v>12</v>
      </c>
      <c r="D559">
        <v>0</v>
      </c>
      <c r="E559" t="s">
        <v>1025</v>
      </c>
      <c r="F559" t="s">
        <v>1026</v>
      </c>
      <c r="G559" t="s">
        <v>1</v>
      </c>
      <c r="H559" t="s">
        <v>2</v>
      </c>
      <c r="I559" t="s">
        <v>1027</v>
      </c>
      <c r="J559" s="1">
        <v>46176</v>
      </c>
      <c r="K559" t="s">
        <v>1038</v>
      </c>
    </row>
    <row r="560" spans="1:11" x14ac:dyDescent="0.45">
      <c r="A560" t="s">
        <v>570</v>
      </c>
      <c r="B560" t="s">
        <v>1024</v>
      </c>
      <c r="C560">
        <v>22</v>
      </c>
      <c r="D560">
        <v>0</v>
      </c>
      <c r="E560" t="s">
        <v>1025</v>
      </c>
      <c r="F560" t="s">
        <v>1031</v>
      </c>
      <c r="G560" t="s">
        <v>1</v>
      </c>
      <c r="H560" t="s">
        <v>2</v>
      </c>
      <c r="I560" t="s">
        <v>1027</v>
      </c>
      <c r="J560" s="1">
        <v>46176</v>
      </c>
      <c r="K560" t="s">
        <v>1038</v>
      </c>
    </row>
    <row r="561" spans="1:11" x14ac:dyDescent="0.45">
      <c r="A561" t="s">
        <v>571</v>
      </c>
      <c r="B561" t="s">
        <v>1024</v>
      </c>
      <c r="C561">
        <v>13</v>
      </c>
      <c r="D561">
        <v>1</v>
      </c>
      <c r="E561" t="s">
        <v>1025</v>
      </c>
      <c r="F561" t="s">
        <v>1032</v>
      </c>
      <c r="G561" t="s">
        <v>1</v>
      </c>
      <c r="H561" t="s">
        <v>2</v>
      </c>
      <c r="I561" t="s">
        <v>1027</v>
      </c>
      <c r="J561" s="1">
        <v>46176</v>
      </c>
      <c r="K561" t="s">
        <v>1038</v>
      </c>
    </row>
    <row r="562" spans="1:11" x14ac:dyDescent="0.45">
      <c r="A562" t="s">
        <v>572</v>
      </c>
      <c r="B562" t="s">
        <v>1024</v>
      </c>
      <c r="C562">
        <v>24</v>
      </c>
      <c r="D562">
        <v>3</v>
      </c>
      <c r="E562" t="s">
        <v>1025</v>
      </c>
      <c r="F562" t="s">
        <v>1033</v>
      </c>
      <c r="G562" t="s">
        <v>1</v>
      </c>
      <c r="H562" t="s">
        <v>2</v>
      </c>
      <c r="I562" t="s">
        <v>1027</v>
      </c>
      <c r="J562" s="1">
        <v>46176</v>
      </c>
      <c r="K562" t="s">
        <v>1038</v>
      </c>
    </row>
    <row r="563" spans="1:11" x14ac:dyDescent="0.45">
      <c r="A563" t="s">
        <v>573</v>
      </c>
      <c r="B563" t="s">
        <v>1030</v>
      </c>
      <c r="C563">
        <v>42</v>
      </c>
      <c r="D563">
        <v>0</v>
      </c>
      <c r="E563" t="s">
        <v>1025</v>
      </c>
      <c r="F563" t="s">
        <v>1032</v>
      </c>
      <c r="G563" t="s">
        <v>1</v>
      </c>
      <c r="H563" t="s">
        <v>2</v>
      </c>
      <c r="I563" t="s">
        <v>1027</v>
      </c>
      <c r="J563" s="1">
        <v>46176</v>
      </c>
      <c r="K563" t="s">
        <v>1038</v>
      </c>
    </row>
    <row r="564" spans="1:11" x14ac:dyDescent="0.45">
      <c r="A564" t="s">
        <v>574</v>
      </c>
      <c r="B564" t="s">
        <v>1029</v>
      </c>
      <c r="C564">
        <v>50</v>
      </c>
      <c r="D564">
        <v>0</v>
      </c>
      <c r="E564" t="s">
        <v>1025</v>
      </c>
      <c r="F564" t="s">
        <v>1032</v>
      </c>
      <c r="G564" t="s">
        <v>1</v>
      </c>
      <c r="H564" t="s">
        <v>2</v>
      </c>
      <c r="I564" t="s">
        <v>1027</v>
      </c>
      <c r="J564" s="1">
        <v>46176</v>
      </c>
      <c r="K564" t="s">
        <v>1038</v>
      </c>
    </row>
    <row r="565" spans="1:11" x14ac:dyDescent="0.45">
      <c r="A565" t="s">
        <v>575</v>
      </c>
      <c r="B565" t="s">
        <v>1030</v>
      </c>
      <c r="C565">
        <v>44</v>
      </c>
      <c r="D565">
        <v>20</v>
      </c>
      <c r="E565" t="s">
        <v>1034</v>
      </c>
      <c r="F565" t="s">
        <v>1032</v>
      </c>
      <c r="G565" t="s">
        <v>1035</v>
      </c>
      <c r="H565" t="s">
        <v>3</v>
      </c>
      <c r="I565" t="s">
        <v>1027</v>
      </c>
      <c r="J565" s="1">
        <v>46176</v>
      </c>
      <c r="K565" t="s">
        <v>1038</v>
      </c>
    </row>
    <row r="566" spans="1:11" x14ac:dyDescent="0.45">
      <c r="A566" t="s">
        <v>576</v>
      </c>
      <c r="B566" t="s">
        <v>1024</v>
      </c>
      <c r="C566">
        <v>17</v>
      </c>
      <c r="D566">
        <v>0</v>
      </c>
      <c r="E566" t="s">
        <v>1025</v>
      </c>
      <c r="F566" t="s">
        <v>1033</v>
      </c>
      <c r="G566" t="s">
        <v>1</v>
      </c>
      <c r="H566" t="s">
        <v>2</v>
      </c>
      <c r="I566" t="s">
        <v>1027</v>
      </c>
      <c r="J566" s="1">
        <v>46176</v>
      </c>
      <c r="K566" t="s">
        <v>1038</v>
      </c>
    </row>
    <row r="567" spans="1:11" x14ac:dyDescent="0.45">
      <c r="A567" t="s">
        <v>577</v>
      </c>
      <c r="B567" t="s">
        <v>1030</v>
      </c>
      <c r="C567">
        <v>30</v>
      </c>
      <c r="D567">
        <v>3</v>
      </c>
      <c r="E567" t="s">
        <v>1025</v>
      </c>
      <c r="F567" t="s">
        <v>1026</v>
      </c>
      <c r="G567" t="s">
        <v>1</v>
      </c>
      <c r="H567" t="s">
        <v>2</v>
      </c>
      <c r="I567" t="s">
        <v>1027</v>
      </c>
      <c r="J567" s="1">
        <v>46176</v>
      </c>
      <c r="K567" t="s">
        <v>1038</v>
      </c>
    </row>
    <row r="568" spans="1:11" x14ac:dyDescent="0.45">
      <c r="A568" t="s">
        <v>578</v>
      </c>
      <c r="B568" t="s">
        <v>1029</v>
      </c>
      <c r="C568">
        <v>53</v>
      </c>
      <c r="D568">
        <v>3</v>
      </c>
      <c r="E568" t="s">
        <v>1025</v>
      </c>
      <c r="F568" t="s">
        <v>1026</v>
      </c>
      <c r="G568" t="s">
        <v>1</v>
      </c>
      <c r="H568" t="s">
        <v>2</v>
      </c>
      <c r="I568" t="s">
        <v>1027</v>
      </c>
      <c r="J568" s="1">
        <v>46176</v>
      </c>
      <c r="K568" t="s">
        <v>1038</v>
      </c>
    </row>
    <row r="569" spans="1:11" x14ac:dyDescent="0.45">
      <c r="A569" t="s">
        <v>579</v>
      </c>
      <c r="B569" t="s">
        <v>1029</v>
      </c>
      <c r="C569">
        <v>51</v>
      </c>
      <c r="D569">
        <v>4</v>
      </c>
      <c r="E569" t="s">
        <v>1025</v>
      </c>
      <c r="F569" t="s">
        <v>1026</v>
      </c>
      <c r="G569" t="s">
        <v>1</v>
      </c>
      <c r="H569" t="s">
        <v>2</v>
      </c>
      <c r="I569" t="s">
        <v>1027</v>
      </c>
      <c r="J569" s="1">
        <v>46176</v>
      </c>
      <c r="K569" t="s">
        <v>1038</v>
      </c>
    </row>
    <row r="570" spans="1:11" x14ac:dyDescent="0.45">
      <c r="A570" t="s">
        <v>580</v>
      </c>
      <c r="B570" t="s">
        <v>1024</v>
      </c>
      <c r="C570">
        <v>14</v>
      </c>
      <c r="D570">
        <v>0</v>
      </c>
      <c r="E570" t="s">
        <v>1025</v>
      </c>
      <c r="F570" t="s">
        <v>1033</v>
      </c>
      <c r="G570" t="s">
        <v>1</v>
      </c>
      <c r="H570" t="s">
        <v>2</v>
      </c>
      <c r="I570" t="s">
        <v>1027</v>
      </c>
      <c r="J570" s="1">
        <v>46176</v>
      </c>
      <c r="K570" t="s">
        <v>1038</v>
      </c>
    </row>
    <row r="571" spans="1:11" x14ac:dyDescent="0.45">
      <c r="A571" t="s">
        <v>581</v>
      </c>
      <c r="B571" t="s">
        <v>1029</v>
      </c>
      <c r="C571">
        <v>52</v>
      </c>
      <c r="D571">
        <v>3</v>
      </c>
      <c r="E571" t="s">
        <v>1025</v>
      </c>
      <c r="F571" t="s">
        <v>1032</v>
      </c>
      <c r="G571" t="s">
        <v>1</v>
      </c>
      <c r="H571" t="s">
        <v>2</v>
      </c>
      <c r="I571" t="s">
        <v>1027</v>
      </c>
      <c r="J571" s="1">
        <v>46176</v>
      </c>
      <c r="K571" t="s">
        <v>1038</v>
      </c>
    </row>
    <row r="572" spans="1:11" x14ac:dyDescent="0.45">
      <c r="A572" t="s">
        <v>582</v>
      </c>
      <c r="B572" t="s">
        <v>1024</v>
      </c>
      <c r="C572">
        <v>15</v>
      </c>
      <c r="D572">
        <v>0</v>
      </c>
      <c r="E572" t="s">
        <v>1025</v>
      </c>
      <c r="F572" t="s">
        <v>1026</v>
      </c>
      <c r="G572" t="s">
        <v>1</v>
      </c>
      <c r="H572" t="s">
        <v>2</v>
      </c>
      <c r="I572" t="s">
        <v>1027</v>
      </c>
      <c r="J572" s="1">
        <v>46176</v>
      </c>
      <c r="K572" t="s">
        <v>1038</v>
      </c>
    </row>
    <row r="573" spans="1:11" x14ac:dyDescent="0.45">
      <c r="A573" t="s">
        <v>583</v>
      </c>
      <c r="B573" t="s">
        <v>1029</v>
      </c>
      <c r="C573">
        <v>46</v>
      </c>
      <c r="D573">
        <v>0</v>
      </c>
      <c r="E573" t="s">
        <v>1025</v>
      </c>
      <c r="F573" t="s">
        <v>1026</v>
      </c>
      <c r="G573" t="s">
        <v>1</v>
      </c>
      <c r="H573" t="s">
        <v>2</v>
      </c>
      <c r="I573" t="s">
        <v>1027</v>
      </c>
      <c r="J573" s="1">
        <v>46176</v>
      </c>
      <c r="K573" t="s">
        <v>1038</v>
      </c>
    </row>
    <row r="574" spans="1:11" x14ac:dyDescent="0.45">
      <c r="A574" t="s">
        <v>584</v>
      </c>
      <c r="B574" t="s">
        <v>1024</v>
      </c>
      <c r="C574">
        <v>22</v>
      </c>
      <c r="D574">
        <v>1</v>
      </c>
      <c r="E574" t="s">
        <v>1025</v>
      </c>
      <c r="F574" t="s">
        <v>1031</v>
      </c>
      <c r="G574" t="s">
        <v>1</v>
      </c>
      <c r="H574" t="s">
        <v>2</v>
      </c>
      <c r="I574" t="s">
        <v>1027</v>
      </c>
      <c r="J574" s="1">
        <v>46176</v>
      </c>
      <c r="K574" t="s">
        <v>1038</v>
      </c>
    </row>
    <row r="575" spans="1:11" x14ac:dyDescent="0.45">
      <c r="A575" t="s">
        <v>585</v>
      </c>
      <c r="B575" t="s">
        <v>1029</v>
      </c>
      <c r="C575">
        <v>49</v>
      </c>
      <c r="D575">
        <v>34</v>
      </c>
      <c r="E575" t="s">
        <v>1034</v>
      </c>
      <c r="F575" t="s">
        <v>1031</v>
      </c>
      <c r="G575" t="s">
        <v>1035</v>
      </c>
      <c r="H575" t="s">
        <v>3</v>
      </c>
      <c r="I575" t="s">
        <v>1027</v>
      </c>
      <c r="J575" s="1">
        <v>46176</v>
      </c>
      <c r="K575" t="s">
        <v>1038</v>
      </c>
    </row>
    <row r="576" spans="1:11" x14ac:dyDescent="0.45">
      <c r="A576" t="s">
        <v>586</v>
      </c>
      <c r="B576" t="s">
        <v>1030</v>
      </c>
      <c r="C576">
        <v>39</v>
      </c>
      <c r="D576">
        <v>1</v>
      </c>
      <c r="E576" t="s">
        <v>1025</v>
      </c>
      <c r="F576" t="s">
        <v>1033</v>
      </c>
      <c r="G576" t="s">
        <v>1</v>
      </c>
      <c r="H576" t="s">
        <v>2</v>
      </c>
      <c r="I576" t="s">
        <v>1027</v>
      </c>
      <c r="J576" s="1">
        <v>46176</v>
      </c>
      <c r="K576" t="s">
        <v>1038</v>
      </c>
    </row>
    <row r="577" spans="1:11" x14ac:dyDescent="0.45">
      <c r="A577" t="s">
        <v>587</v>
      </c>
      <c r="B577" t="s">
        <v>1029</v>
      </c>
      <c r="C577">
        <v>65</v>
      </c>
      <c r="D577">
        <v>0</v>
      </c>
      <c r="E577" t="s">
        <v>1025</v>
      </c>
      <c r="F577" t="s">
        <v>1033</v>
      </c>
      <c r="G577" t="s">
        <v>1</v>
      </c>
      <c r="H577" t="s">
        <v>2</v>
      </c>
      <c r="I577" t="s">
        <v>1027</v>
      </c>
      <c r="J577" s="1">
        <v>46176</v>
      </c>
      <c r="K577" t="s">
        <v>1038</v>
      </c>
    </row>
    <row r="578" spans="1:11" x14ac:dyDescent="0.45">
      <c r="A578" t="s">
        <v>588</v>
      </c>
      <c r="B578" t="s">
        <v>1024</v>
      </c>
      <c r="C578">
        <v>19</v>
      </c>
      <c r="D578">
        <v>4</v>
      </c>
      <c r="E578" t="s">
        <v>1025</v>
      </c>
      <c r="F578" t="s">
        <v>1031</v>
      </c>
      <c r="G578" t="s">
        <v>1</v>
      </c>
      <c r="H578" t="s">
        <v>2</v>
      </c>
      <c r="I578" t="s">
        <v>1027</v>
      </c>
      <c r="J578" s="1">
        <v>46176</v>
      </c>
      <c r="K578" t="s">
        <v>1038</v>
      </c>
    </row>
    <row r="579" spans="1:11" x14ac:dyDescent="0.45">
      <c r="A579" t="s">
        <v>589</v>
      </c>
      <c r="B579" t="s">
        <v>1030</v>
      </c>
      <c r="C579">
        <v>32</v>
      </c>
      <c r="D579">
        <v>1</v>
      </c>
      <c r="E579" t="s">
        <v>1025</v>
      </c>
      <c r="F579" t="s">
        <v>1033</v>
      </c>
      <c r="G579" t="s">
        <v>1</v>
      </c>
      <c r="H579" t="s">
        <v>2</v>
      </c>
      <c r="I579" t="s">
        <v>1027</v>
      </c>
      <c r="J579" s="1">
        <v>46176</v>
      </c>
      <c r="K579" t="s">
        <v>1038</v>
      </c>
    </row>
    <row r="580" spans="1:11" x14ac:dyDescent="0.45">
      <c r="A580" t="s">
        <v>590</v>
      </c>
      <c r="B580" t="s">
        <v>1024</v>
      </c>
      <c r="C580">
        <v>20</v>
      </c>
      <c r="D580">
        <v>1</v>
      </c>
      <c r="E580" t="s">
        <v>1025</v>
      </c>
      <c r="F580" t="s">
        <v>1032</v>
      </c>
      <c r="G580" t="s">
        <v>1</v>
      </c>
      <c r="H580" t="s">
        <v>2</v>
      </c>
      <c r="I580" t="s">
        <v>1027</v>
      </c>
      <c r="J580" s="1">
        <v>46176</v>
      </c>
      <c r="K580" t="s">
        <v>1038</v>
      </c>
    </row>
    <row r="581" spans="1:11" x14ac:dyDescent="0.45">
      <c r="A581" t="s">
        <v>591</v>
      </c>
      <c r="B581" t="s">
        <v>1029</v>
      </c>
      <c r="C581">
        <v>63</v>
      </c>
      <c r="D581">
        <v>2</v>
      </c>
      <c r="E581" t="s">
        <v>1025</v>
      </c>
      <c r="F581" t="s">
        <v>1026</v>
      </c>
      <c r="G581" t="s">
        <v>1</v>
      </c>
      <c r="H581" t="s">
        <v>2</v>
      </c>
      <c r="I581" t="s">
        <v>1027</v>
      </c>
      <c r="J581" s="1">
        <v>46176</v>
      </c>
      <c r="K581" t="s">
        <v>1038</v>
      </c>
    </row>
    <row r="582" spans="1:11" x14ac:dyDescent="0.45">
      <c r="A582" t="s">
        <v>592</v>
      </c>
      <c r="B582" t="s">
        <v>1029</v>
      </c>
      <c r="C582">
        <v>60</v>
      </c>
      <c r="D582">
        <v>4</v>
      </c>
      <c r="E582" t="s">
        <v>1025</v>
      </c>
      <c r="F582" t="s">
        <v>1033</v>
      </c>
      <c r="G582" t="s">
        <v>1</v>
      </c>
      <c r="H582" t="s">
        <v>2</v>
      </c>
      <c r="I582" t="s">
        <v>1027</v>
      </c>
      <c r="J582" s="1">
        <v>46176</v>
      </c>
      <c r="K582" t="s">
        <v>1038</v>
      </c>
    </row>
    <row r="583" spans="1:11" x14ac:dyDescent="0.45">
      <c r="A583" t="s">
        <v>593</v>
      </c>
      <c r="B583" t="s">
        <v>1030</v>
      </c>
      <c r="C583">
        <v>46</v>
      </c>
      <c r="D583">
        <v>4</v>
      </c>
      <c r="E583" t="s">
        <v>1025</v>
      </c>
      <c r="F583" t="s">
        <v>1026</v>
      </c>
      <c r="G583" t="s">
        <v>1</v>
      </c>
      <c r="H583" t="s">
        <v>2</v>
      </c>
      <c r="I583" t="s">
        <v>1027</v>
      </c>
      <c r="J583" s="1">
        <v>46176</v>
      </c>
      <c r="K583" t="s">
        <v>1038</v>
      </c>
    </row>
    <row r="584" spans="1:11" x14ac:dyDescent="0.45">
      <c r="A584" t="s">
        <v>594</v>
      </c>
      <c r="B584" t="s">
        <v>1029</v>
      </c>
      <c r="C584">
        <v>56</v>
      </c>
      <c r="D584">
        <v>4</v>
      </c>
      <c r="E584" t="s">
        <v>1025</v>
      </c>
      <c r="F584" t="s">
        <v>1032</v>
      </c>
      <c r="G584" t="s">
        <v>1</v>
      </c>
      <c r="H584" t="s">
        <v>2</v>
      </c>
      <c r="I584" t="s">
        <v>1027</v>
      </c>
      <c r="J584" s="1">
        <v>46176</v>
      </c>
      <c r="K584" t="s">
        <v>1038</v>
      </c>
    </row>
    <row r="585" spans="1:11" x14ac:dyDescent="0.45">
      <c r="A585" t="s">
        <v>595</v>
      </c>
      <c r="B585" t="s">
        <v>1024</v>
      </c>
      <c r="C585">
        <v>17</v>
      </c>
      <c r="D585">
        <v>1</v>
      </c>
      <c r="E585" t="s">
        <v>1025</v>
      </c>
      <c r="F585" t="s">
        <v>1026</v>
      </c>
      <c r="G585" t="s">
        <v>1</v>
      </c>
      <c r="H585" t="s">
        <v>2</v>
      </c>
      <c r="I585" t="s">
        <v>1027</v>
      </c>
      <c r="J585" s="1">
        <v>46176</v>
      </c>
      <c r="K585" t="s">
        <v>1038</v>
      </c>
    </row>
    <row r="586" spans="1:11" x14ac:dyDescent="0.45">
      <c r="A586" t="s">
        <v>596</v>
      </c>
      <c r="B586" t="s">
        <v>1029</v>
      </c>
      <c r="C586">
        <v>52</v>
      </c>
      <c r="D586">
        <v>1</v>
      </c>
      <c r="E586" t="s">
        <v>1025</v>
      </c>
      <c r="F586" t="s">
        <v>1031</v>
      </c>
      <c r="G586" t="s">
        <v>1</v>
      </c>
      <c r="H586" t="s">
        <v>2</v>
      </c>
      <c r="I586" t="s">
        <v>1027</v>
      </c>
      <c r="J586" s="1">
        <v>46176</v>
      </c>
      <c r="K586" t="s">
        <v>1038</v>
      </c>
    </row>
    <row r="587" spans="1:11" x14ac:dyDescent="0.45">
      <c r="A587" t="s">
        <v>597</v>
      </c>
      <c r="B587" t="s">
        <v>1029</v>
      </c>
      <c r="C587">
        <v>50</v>
      </c>
      <c r="D587">
        <v>4</v>
      </c>
      <c r="E587" t="s">
        <v>1025</v>
      </c>
      <c r="F587" t="s">
        <v>1033</v>
      </c>
      <c r="G587" t="s">
        <v>1</v>
      </c>
      <c r="H587" t="s">
        <v>2</v>
      </c>
      <c r="I587" t="s">
        <v>1027</v>
      </c>
      <c r="J587" s="1">
        <v>46176</v>
      </c>
      <c r="K587" t="s">
        <v>1038</v>
      </c>
    </row>
    <row r="588" spans="1:11" x14ac:dyDescent="0.45">
      <c r="A588" t="s">
        <v>598</v>
      </c>
      <c r="B588" t="s">
        <v>1024</v>
      </c>
      <c r="C588">
        <v>13</v>
      </c>
      <c r="D588">
        <v>0</v>
      </c>
      <c r="E588" t="s">
        <v>1025</v>
      </c>
      <c r="F588" t="s">
        <v>1033</v>
      </c>
      <c r="G588" t="s">
        <v>1</v>
      </c>
      <c r="H588" t="s">
        <v>2</v>
      </c>
      <c r="I588" t="s">
        <v>1027</v>
      </c>
      <c r="J588" s="1">
        <v>46176</v>
      </c>
      <c r="K588" t="s">
        <v>1038</v>
      </c>
    </row>
    <row r="589" spans="1:11" x14ac:dyDescent="0.45">
      <c r="A589" t="s">
        <v>599</v>
      </c>
      <c r="B589" t="s">
        <v>1030</v>
      </c>
      <c r="C589">
        <v>47</v>
      </c>
      <c r="D589">
        <v>1</v>
      </c>
      <c r="E589" t="s">
        <v>1025</v>
      </c>
      <c r="F589" t="s">
        <v>1033</v>
      </c>
      <c r="G589" t="s">
        <v>1</v>
      </c>
      <c r="H589" t="s">
        <v>2</v>
      </c>
      <c r="I589" t="s">
        <v>1027</v>
      </c>
      <c r="J589" s="1">
        <v>46176</v>
      </c>
      <c r="K589" t="s">
        <v>1038</v>
      </c>
    </row>
    <row r="590" spans="1:11" x14ac:dyDescent="0.45">
      <c r="A590" t="s">
        <v>600</v>
      </c>
      <c r="B590" t="s">
        <v>1030</v>
      </c>
      <c r="C590">
        <v>46</v>
      </c>
      <c r="D590">
        <v>2</v>
      </c>
      <c r="E590" t="s">
        <v>1025</v>
      </c>
      <c r="F590" t="s">
        <v>1026</v>
      </c>
      <c r="G590" t="s">
        <v>1</v>
      </c>
      <c r="H590" t="s">
        <v>2</v>
      </c>
      <c r="I590" t="s">
        <v>1027</v>
      </c>
      <c r="J590" s="1">
        <v>46176</v>
      </c>
      <c r="K590" t="s">
        <v>1038</v>
      </c>
    </row>
    <row r="591" spans="1:11" x14ac:dyDescent="0.45">
      <c r="A591" t="s">
        <v>601</v>
      </c>
      <c r="B591" t="s">
        <v>1030</v>
      </c>
      <c r="C591">
        <v>47</v>
      </c>
      <c r="D591">
        <v>2</v>
      </c>
      <c r="E591" t="s">
        <v>1025</v>
      </c>
      <c r="F591" t="s">
        <v>1033</v>
      </c>
      <c r="G591" t="s">
        <v>1</v>
      </c>
      <c r="H591" t="s">
        <v>2</v>
      </c>
      <c r="I591" t="s">
        <v>1027</v>
      </c>
      <c r="J591" s="1">
        <v>46176</v>
      </c>
      <c r="K591" t="s">
        <v>1038</v>
      </c>
    </row>
    <row r="592" spans="1:11" x14ac:dyDescent="0.45">
      <c r="A592" t="s">
        <v>602</v>
      </c>
      <c r="B592" t="s">
        <v>1029</v>
      </c>
      <c r="C592">
        <v>62</v>
      </c>
      <c r="D592">
        <v>0</v>
      </c>
      <c r="E592" t="s">
        <v>1025</v>
      </c>
      <c r="F592" t="s">
        <v>1031</v>
      </c>
      <c r="G592" t="s">
        <v>1</v>
      </c>
      <c r="H592" t="s">
        <v>2</v>
      </c>
      <c r="I592" t="s">
        <v>1027</v>
      </c>
      <c r="J592" s="1">
        <v>46176</v>
      </c>
      <c r="K592" t="s">
        <v>1038</v>
      </c>
    </row>
    <row r="593" spans="1:11" x14ac:dyDescent="0.45">
      <c r="A593" t="s">
        <v>603</v>
      </c>
      <c r="B593" t="s">
        <v>1029</v>
      </c>
      <c r="C593">
        <v>55</v>
      </c>
      <c r="D593">
        <v>1</v>
      </c>
      <c r="E593" t="s">
        <v>1025</v>
      </c>
      <c r="F593" t="s">
        <v>1026</v>
      </c>
      <c r="G593" t="s">
        <v>1</v>
      </c>
      <c r="H593" t="s">
        <v>2</v>
      </c>
      <c r="I593" t="s">
        <v>1027</v>
      </c>
      <c r="J593" s="1">
        <v>46176</v>
      </c>
      <c r="K593" t="s">
        <v>1038</v>
      </c>
    </row>
    <row r="594" spans="1:11" x14ac:dyDescent="0.45">
      <c r="A594" t="s">
        <v>604</v>
      </c>
      <c r="B594" t="s">
        <v>1030</v>
      </c>
      <c r="C594">
        <v>42</v>
      </c>
      <c r="D594">
        <v>2</v>
      </c>
      <c r="E594" t="s">
        <v>1025</v>
      </c>
      <c r="F594" t="s">
        <v>1026</v>
      </c>
      <c r="G594" t="s">
        <v>1</v>
      </c>
      <c r="H594" t="s">
        <v>2</v>
      </c>
      <c r="I594" t="s">
        <v>1027</v>
      </c>
      <c r="J594" s="1">
        <v>46176</v>
      </c>
      <c r="K594" t="s">
        <v>1038</v>
      </c>
    </row>
    <row r="595" spans="1:11" x14ac:dyDescent="0.45">
      <c r="A595" t="s">
        <v>605</v>
      </c>
      <c r="B595" t="s">
        <v>1024</v>
      </c>
      <c r="C595">
        <v>23</v>
      </c>
      <c r="D595">
        <v>0</v>
      </c>
      <c r="E595" t="s">
        <v>1025</v>
      </c>
      <c r="F595" t="s">
        <v>1026</v>
      </c>
      <c r="G595" t="s">
        <v>1</v>
      </c>
      <c r="H595" t="s">
        <v>2</v>
      </c>
      <c r="I595" t="s">
        <v>1027</v>
      </c>
      <c r="J595" s="1">
        <v>46176</v>
      </c>
      <c r="K595" t="s">
        <v>1038</v>
      </c>
    </row>
    <row r="596" spans="1:11" x14ac:dyDescent="0.45">
      <c r="A596" t="s">
        <v>606</v>
      </c>
      <c r="B596" t="s">
        <v>1029</v>
      </c>
      <c r="C596">
        <v>56</v>
      </c>
      <c r="D596">
        <v>15</v>
      </c>
      <c r="E596" t="s">
        <v>1036</v>
      </c>
      <c r="F596" t="s">
        <v>1033</v>
      </c>
      <c r="G596" t="s">
        <v>1035</v>
      </c>
      <c r="H596" t="s">
        <v>3</v>
      </c>
      <c r="I596" t="s">
        <v>1027</v>
      </c>
      <c r="J596" s="1">
        <v>46176</v>
      </c>
      <c r="K596" t="s">
        <v>1038</v>
      </c>
    </row>
    <row r="597" spans="1:11" x14ac:dyDescent="0.45">
      <c r="A597" t="s">
        <v>607</v>
      </c>
      <c r="B597" t="s">
        <v>1024</v>
      </c>
      <c r="C597">
        <v>12</v>
      </c>
      <c r="D597">
        <v>2</v>
      </c>
      <c r="E597" t="s">
        <v>1025</v>
      </c>
      <c r="F597" t="s">
        <v>1032</v>
      </c>
      <c r="G597" t="s">
        <v>1</v>
      </c>
      <c r="H597" t="s">
        <v>2</v>
      </c>
      <c r="I597" t="s">
        <v>1027</v>
      </c>
      <c r="J597" s="1">
        <v>46176</v>
      </c>
      <c r="K597" t="s">
        <v>1038</v>
      </c>
    </row>
    <row r="598" spans="1:11" x14ac:dyDescent="0.45">
      <c r="A598" t="s">
        <v>608</v>
      </c>
      <c r="B598" t="s">
        <v>1024</v>
      </c>
      <c r="C598">
        <v>15</v>
      </c>
      <c r="D598">
        <v>0</v>
      </c>
      <c r="E598" t="s">
        <v>1025</v>
      </c>
      <c r="F598" t="s">
        <v>1026</v>
      </c>
      <c r="G598" t="s">
        <v>1</v>
      </c>
      <c r="H598" t="s">
        <v>2</v>
      </c>
      <c r="I598" t="s">
        <v>1027</v>
      </c>
      <c r="J598" s="1">
        <v>46176</v>
      </c>
      <c r="K598" t="s">
        <v>1038</v>
      </c>
    </row>
    <row r="599" spans="1:11" x14ac:dyDescent="0.45">
      <c r="A599" t="s">
        <v>609</v>
      </c>
      <c r="B599" t="s">
        <v>1024</v>
      </c>
      <c r="C599">
        <v>12</v>
      </c>
      <c r="D599">
        <v>0</v>
      </c>
      <c r="E599" t="s">
        <v>1025</v>
      </c>
      <c r="F599" t="s">
        <v>1032</v>
      </c>
      <c r="G599" t="s">
        <v>1</v>
      </c>
      <c r="H599" t="s">
        <v>2</v>
      </c>
      <c r="I599" t="s">
        <v>1027</v>
      </c>
      <c r="J599" s="1">
        <v>46176</v>
      </c>
      <c r="K599" t="s">
        <v>1038</v>
      </c>
    </row>
    <row r="600" spans="1:11" x14ac:dyDescent="0.45">
      <c r="A600" t="s">
        <v>610</v>
      </c>
      <c r="B600" t="s">
        <v>1030</v>
      </c>
      <c r="C600">
        <v>40</v>
      </c>
      <c r="D600">
        <v>0</v>
      </c>
      <c r="E600" t="s">
        <v>1025</v>
      </c>
      <c r="F600" t="s">
        <v>1033</v>
      </c>
      <c r="G600" t="s">
        <v>1</v>
      </c>
      <c r="H600" t="s">
        <v>2</v>
      </c>
      <c r="I600" t="s">
        <v>1027</v>
      </c>
      <c r="J600" s="1">
        <v>46176</v>
      </c>
      <c r="K600" t="s">
        <v>1038</v>
      </c>
    </row>
    <row r="601" spans="1:11" x14ac:dyDescent="0.45">
      <c r="A601" t="s">
        <v>611</v>
      </c>
      <c r="B601" t="s">
        <v>1029</v>
      </c>
      <c r="C601">
        <v>53</v>
      </c>
      <c r="D601">
        <v>2</v>
      </c>
      <c r="E601" t="s">
        <v>1025</v>
      </c>
      <c r="F601" t="s">
        <v>1032</v>
      </c>
      <c r="G601" t="s">
        <v>1</v>
      </c>
      <c r="H601" t="s">
        <v>2</v>
      </c>
      <c r="I601" t="s">
        <v>1027</v>
      </c>
      <c r="J601" s="1">
        <v>46176</v>
      </c>
      <c r="K601" t="s">
        <v>1038</v>
      </c>
    </row>
    <row r="602" spans="1:11" x14ac:dyDescent="0.45">
      <c r="A602" t="s">
        <v>612</v>
      </c>
      <c r="B602" t="s">
        <v>1029</v>
      </c>
      <c r="C602">
        <v>54</v>
      </c>
      <c r="D602">
        <v>0</v>
      </c>
      <c r="E602" t="s">
        <v>1025</v>
      </c>
      <c r="F602" t="s">
        <v>1032</v>
      </c>
      <c r="G602" t="s">
        <v>1</v>
      </c>
      <c r="H602" t="s">
        <v>2</v>
      </c>
      <c r="I602" t="s">
        <v>1027</v>
      </c>
      <c r="J602" s="1">
        <v>46176</v>
      </c>
      <c r="K602" t="s">
        <v>1038</v>
      </c>
    </row>
    <row r="603" spans="1:11" x14ac:dyDescent="0.45">
      <c r="A603" t="s">
        <v>613</v>
      </c>
      <c r="B603" t="s">
        <v>1030</v>
      </c>
      <c r="C603">
        <v>41</v>
      </c>
      <c r="D603">
        <v>0</v>
      </c>
      <c r="E603" t="s">
        <v>1025</v>
      </c>
      <c r="F603" t="s">
        <v>1031</v>
      </c>
      <c r="G603" t="s">
        <v>1</v>
      </c>
      <c r="H603" t="s">
        <v>2</v>
      </c>
      <c r="I603" t="s">
        <v>1027</v>
      </c>
      <c r="J603" s="1">
        <v>46176</v>
      </c>
      <c r="K603" t="s">
        <v>1038</v>
      </c>
    </row>
    <row r="604" spans="1:11" x14ac:dyDescent="0.45">
      <c r="A604" t="s">
        <v>614</v>
      </c>
      <c r="B604" t="s">
        <v>1030</v>
      </c>
      <c r="C604">
        <v>39</v>
      </c>
      <c r="D604">
        <v>0</v>
      </c>
      <c r="E604" t="s">
        <v>1025</v>
      </c>
      <c r="F604" t="s">
        <v>1032</v>
      </c>
      <c r="G604" t="s">
        <v>1</v>
      </c>
      <c r="H604" t="s">
        <v>2</v>
      </c>
      <c r="I604" t="s">
        <v>1027</v>
      </c>
      <c r="J604" s="1">
        <v>46176</v>
      </c>
      <c r="K604" t="s">
        <v>1038</v>
      </c>
    </row>
    <row r="605" spans="1:11" x14ac:dyDescent="0.45">
      <c r="A605" t="s">
        <v>615</v>
      </c>
      <c r="B605" t="s">
        <v>1030</v>
      </c>
      <c r="C605">
        <v>30</v>
      </c>
      <c r="D605">
        <v>16</v>
      </c>
      <c r="E605" t="s">
        <v>1034</v>
      </c>
      <c r="F605" t="s">
        <v>1033</v>
      </c>
      <c r="G605" t="s">
        <v>1035</v>
      </c>
      <c r="H605" t="s">
        <v>3</v>
      </c>
      <c r="I605" t="s">
        <v>1027</v>
      </c>
      <c r="J605" s="1">
        <v>46176</v>
      </c>
      <c r="K605" t="s">
        <v>1038</v>
      </c>
    </row>
    <row r="606" spans="1:11" x14ac:dyDescent="0.45">
      <c r="A606" t="s">
        <v>616</v>
      </c>
      <c r="B606" t="s">
        <v>1024</v>
      </c>
      <c r="C606">
        <v>10</v>
      </c>
      <c r="D606">
        <v>1</v>
      </c>
      <c r="E606" t="s">
        <v>1025</v>
      </c>
      <c r="F606" t="s">
        <v>1033</v>
      </c>
      <c r="G606" t="s">
        <v>1</v>
      </c>
      <c r="H606" t="s">
        <v>2</v>
      </c>
      <c r="I606" t="s">
        <v>1027</v>
      </c>
      <c r="J606" s="1">
        <v>46176</v>
      </c>
      <c r="K606" t="s">
        <v>1038</v>
      </c>
    </row>
    <row r="607" spans="1:11" x14ac:dyDescent="0.45">
      <c r="A607" t="s">
        <v>617</v>
      </c>
      <c r="B607" t="s">
        <v>1030</v>
      </c>
      <c r="C607">
        <v>47</v>
      </c>
      <c r="D607">
        <v>15</v>
      </c>
      <c r="E607" t="s">
        <v>1036</v>
      </c>
      <c r="F607" t="s">
        <v>1031</v>
      </c>
      <c r="G607" t="s">
        <v>1035</v>
      </c>
      <c r="H607" t="s">
        <v>3</v>
      </c>
      <c r="I607" t="s">
        <v>1027</v>
      </c>
      <c r="J607" s="1">
        <v>46176</v>
      </c>
      <c r="K607" t="s">
        <v>1038</v>
      </c>
    </row>
    <row r="608" spans="1:11" x14ac:dyDescent="0.45">
      <c r="A608" t="s">
        <v>618</v>
      </c>
      <c r="B608" t="s">
        <v>1030</v>
      </c>
      <c r="C608">
        <v>30</v>
      </c>
      <c r="D608">
        <v>1</v>
      </c>
      <c r="E608" t="s">
        <v>1025</v>
      </c>
      <c r="F608" t="s">
        <v>1026</v>
      </c>
      <c r="G608" t="s">
        <v>1</v>
      </c>
      <c r="H608" t="s">
        <v>2</v>
      </c>
      <c r="I608" t="s">
        <v>1027</v>
      </c>
      <c r="J608" s="1">
        <v>46176</v>
      </c>
      <c r="K608" t="s">
        <v>1038</v>
      </c>
    </row>
    <row r="609" spans="1:11" x14ac:dyDescent="0.45">
      <c r="A609" t="s">
        <v>619</v>
      </c>
      <c r="B609" t="s">
        <v>1029</v>
      </c>
      <c r="C609">
        <v>60</v>
      </c>
      <c r="D609">
        <v>3</v>
      </c>
      <c r="E609" t="s">
        <v>1025</v>
      </c>
      <c r="F609" t="s">
        <v>1026</v>
      </c>
      <c r="G609" t="s">
        <v>1</v>
      </c>
      <c r="H609" t="s">
        <v>2</v>
      </c>
      <c r="I609" t="s">
        <v>1027</v>
      </c>
      <c r="J609" s="1">
        <v>46176</v>
      </c>
      <c r="K609" t="s">
        <v>1038</v>
      </c>
    </row>
    <row r="610" spans="1:11" x14ac:dyDescent="0.45">
      <c r="A610" t="s">
        <v>620</v>
      </c>
      <c r="B610" t="s">
        <v>1030</v>
      </c>
      <c r="C610">
        <v>33</v>
      </c>
      <c r="D610">
        <v>2</v>
      </c>
      <c r="E610" t="s">
        <v>1025</v>
      </c>
      <c r="F610" t="s">
        <v>1026</v>
      </c>
      <c r="G610" t="s">
        <v>1</v>
      </c>
      <c r="H610" t="s">
        <v>2</v>
      </c>
      <c r="I610" t="s">
        <v>1027</v>
      </c>
      <c r="J610" s="1">
        <v>46177</v>
      </c>
      <c r="K610" t="s">
        <v>1039</v>
      </c>
    </row>
    <row r="611" spans="1:11" x14ac:dyDescent="0.45">
      <c r="A611" t="s">
        <v>621</v>
      </c>
      <c r="B611" t="s">
        <v>1030</v>
      </c>
      <c r="C611">
        <v>36</v>
      </c>
      <c r="D611">
        <v>0</v>
      </c>
      <c r="E611" t="s">
        <v>1025</v>
      </c>
      <c r="F611" t="s">
        <v>1033</v>
      </c>
      <c r="G611" t="s">
        <v>1</v>
      </c>
      <c r="H611" t="s">
        <v>2</v>
      </c>
      <c r="I611" t="s">
        <v>1027</v>
      </c>
      <c r="J611" s="1">
        <v>46177</v>
      </c>
      <c r="K611" t="s">
        <v>1039</v>
      </c>
    </row>
    <row r="612" spans="1:11" x14ac:dyDescent="0.45">
      <c r="A612" t="s">
        <v>622</v>
      </c>
      <c r="B612" t="s">
        <v>1030</v>
      </c>
      <c r="C612">
        <v>43</v>
      </c>
      <c r="D612">
        <v>0</v>
      </c>
      <c r="E612" t="s">
        <v>1025</v>
      </c>
      <c r="F612" t="s">
        <v>1026</v>
      </c>
      <c r="G612" t="s">
        <v>1</v>
      </c>
      <c r="H612" t="s">
        <v>2</v>
      </c>
      <c r="I612" t="s">
        <v>1027</v>
      </c>
      <c r="J612" s="1">
        <v>46177</v>
      </c>
      <c r="K612" t="s">
        <v>1039</v>
      </c>
    </row>
    <row r="613" spans="1:11" x14ac:dyDescent="0.45">
      <c r="A613" t="s">
        <v>623</v>
      </c>
      <c r="B613" t="s">
        <v>1024</v>
      </c>
      <c r="C613">
        <v>10</v>
      </c>
      <c r="D613">
        <v>2</v>
      </c>
      <c r="E613" t="s">
        <v>1025</v>
      </c>
      <c r="F613" t="s">
        <v>1026</v>
      </c>
      <c r="G613" t="s">
        <v>1</v>
      </c>
      <c r="H613" t="s">
        <v>2</v>
      </c>
      <c r="I613" t="s">
        <v>1027</v>
      </c>
      <c r="J613" s="1">
        <v>46177</v>
      </c>
      <c r="K613" t="s">
        <v>1039</v>
      </c>
    </row>
    <row r="614" spans="1:11" x14ac:dyDescent="0.45">
      <c r="A614" t="s">
        <v>624</v>
      </c>
      <c r="B614" t="s">
        <v>1024</v>
      </c>
      <c r="C614">
        <v>16</v>
      </c>
      <c r="D614">
        <v>1</v>
      </c>
      <c r="E614" t="s">
        <v>1025</v>
      </c>
      <c r="F614" t="s">
        <v>1032</v>
      </c>
      <c r="G614" t="s">
        <v>1</v>
      </c>
      <c r="H614" t="s">
        <v>2</v>
      </c>
      <c r="I614" t="s">
        <v>1027</v>
      </c>
      <c r="J614" s="1">
        <v>46177</v>
      </c>
      <c r="K614" t="s">
        <v>1039</v>
      </c>
    </row>
    <row r="615" spans="1:11" x14ac:dyDescent="0.45">
      <c r="A615" t="s">
        <v>625</v>
      </c>
      <c r="B615" t="s">
        <v>1030</v>
      </c>
      <c r="C615">
        <v>36</v>
      </c>
      <c r="D615">
        <v>1</v>
      </c>
      <c r="E615" t="s">
        <v>1025</v>
      </c>
      <c r="F615" t="s">
        <v>1026</v>
      </c>
      <c r="G615" t="s">
        <v>1</v>
      </c>
      <c r="H615" t="s">
        <v>2</v>
      </c>
      <c r="I615" t="s">
        <v>1027</v>
      </c>
      <c r="J615" s="1">
        <v>46177</v>
      </c>
      <c r="K615" t="s">
        <v>1039</v>
      </c>
    </row>
    <row r="616" spans="1:11" x14ac:dyDescent="0.45">
      <c r="A616" t="s">
        <v>626</v>
      </c>
      <c r="B616" t="s">
        <v>1030</v>
      </c>
      <c r="C616">
        <v>37</v>
      </c>
      <c r="D616">
        <v>0</v>
      </c>
      <c r="E616" t="s">
        <v>1025</v>
      </c>
      <c r="F616" t="s">
        <v>1031</v>
      </c>
      <c r="G616" t="s">
        <v>1</v>
      </c>
      <c r="H616" t="s">
        <v>2</v>
      </c>
      <c r="I616" t="s">
        <v>1027</v>
      </c>
      <c r="J616" s="1">
        <v>46177</v>
      </c>
      <c r="K616" t="s">
        <v>1039</v>
      </c>
    </row>
    <row r="617" spans="1:11" x14ac:dyDescent="0.45">
      <c r="A617" t="s">
        <v>627</v>
      </c>
      <c r="B617" t="s">
        <v>1024</v>
      </c>
      <c r="C617">
        <v>22</v>
      </c>
      <c r="D617">
        <v>0</v>
      </c>
      <c r="E617" t="s">
        <v>1025</v>
      </c>
      <c r="F617" t="s">
        <v>1031</v>
      </c>
      <c r="G617" t="s">
        <v>1</v>
      </c>
      <c r="H617" t="s">
        <v>2</v>
      </c>
      <c r="I617" t="s">
        <v>1027</v>
      </c>
      <c r="J617" s="1">
        <v>46177</v>
      </c>
      <c r="K617" t="s">
        <v>1039</v>
      </c>
    </row>
    <row r="618" spans="1:11" x14ac:dyDescent="0.45">
      <c r="A618" t="s">
        <v>628</v>
      </c>
      <c r="B618" t="s">
        <v>1024</v>
      </c>
      <c r="C618">
        <v>25</v>
      </c>
      <c r="D618">
        <v>0</v>
      </c>
      <c r="E618" t="s">
        <v>1025</v>
      </c>
      <c r="F618" t="s">
        <v>1031</v>
      </c>
      <c r="G618" t="s">
        <v>1</v>
      </c>
      <c r="H618" t="s">
        <v>2</v>
      </c>
      <c r="I618" t="s">
        <v>1027</v>
      </c>
      <c r="J618" s="1">
        <v>46177</v>
      </c>
      <c r="K618" t="s">
        <v>1039</v>
      </c>
    </row>
    <row r="619" spans="1:11" x14ac:dyDescent="0.45">
      <c r="A619" t="s">
        <v>629</v>
      </c>
      <c r="B619" t="s">
        <v>1024</v>
      </c>
      <c r="C619">
        <v>18</v>
      </c>
      <c r="D619">
        <v>31</v>
      </c>
      <c r="E619" t="s">
        <v>1034</v>
      </c>
      <c r="F619" t="s">
        <v>1026</v>
      </c>
      <c r="G619" t="s">
        <v>1035</v>
      </c>
      <c r="H619" t="s">
        <v>3</v>
      </c>
      <c r="I619" t="s">
        <v>1027</v>
      </c>
      <c r="J619" s="1">
        <v>46177</v>
      </c>
      <c r="K619" t="s">
        <v>1039</v>
      </c>
    </row>
    <row r="620" spans="1:11" x14ac:dyDescent="0.45">
      <c r="A620" t="s">
        <v>630</v>
      </c>
      <c r="B620" t="s">
        <v>1029</v>
      </c>
      <c r="C620">
        <v>51</v>
      </c>
      <c r="D620">
        <v>2</v>
      </c>
      <c r="E620" t="s">
        <v>1025</v>
      </c>
      <c r="F620" t="s">
        <v>1026</v>
      </c>
      <c r="G620" t="s">
        <v>1</v>
      </c>
      <c r="H620" t="s">
        <v>2</v>
      </c>
      <c r="I620" t="s">
        <v>1027</v>
      </c>
      <c r="J620" s="1">
        <v>46177</v>
      </c>
      <c r="K620" t="s">
        <v>1039</v>
      </c>
    </row>
    <row r="621" spans="1:11" x14ac:dyDescent="0.45">
      <c r="A621" t="s">
        <v>631</v>
      </c>
      <c r="B621" t="s">
        <v>1029</v>
      </c>
      <c r="C621">
        <v>64</v>
      </c>
      <c r="D621">
        <v>0</v>
      </c>
      <c r="E621" t="s">
        <v>1025</v>
      </c>
      <c r="F621" t="s">
        <v>1026</v>
      </c>
      <c r="G621" t="s">
        <v>1</v>
      </c>
      <c r="H621" t="s">
        <v>2</v>
      </c>
      <c r="I621" t="s">
        <v>1027</v>
      </c>
      <c r="J621" s="1">
        <v>46177</v>
      </c>
      <c r="K621" t="s">
        <v>1039</v>
      </c>
    </row>
    <row r="622" spans="1:11" x14ac:dyDescent="0.45">
      <c r="A622" t="s">
        <v>632</v>
      </c>
      <c r="B622" t="s">
        <v>1029</v>
      </c>
      <c r="C622">
        <v>54</v>
      </c>
      <c r="D622">
        <v>1</v>
      </c>
      <c r="E622" t="s">
        <v>1025</v>
      </c>
      <c r="F622" t="s">
        <v>1031</v>
      </c>
      <c r="G622" t="s">
        <v>1</v>
      </c>
      <c r="H622" t="s">
        <v>2</v>
      </c>
      <c r="I622" t="s">
        <v>1027</v>
      </c>
      <c r="J622" s="1">
        <v>46177</v>
      </c>
      <c r="K622" t="s">
        <v>1039</v>
      </c>
    </row>
    <row r="623" spans="1:11" x14ac:dyDescent="0.45">
      <c r="A623" t="s">
        <v>633</v>
      </c>
      <c r="B623" t="s">
        <v>1024</v>
      </c>
      <c r="C623">
        <v>15</v>
      </c>
      <c r="D623">
        <v>0</v>
      </c>
      <c r="E623" t="s">
        <v>1025</v>
      </c>
      <c r="F623" t="s">
        <v>1032</v>
      </c>
      <c r="G623" t="s">
        <v>1</v>
      </c>
      <c r="H623" t="s">
        <v>2</v>
      </c>
      <c r="I623" t="s">
        <v>1027</v>
      </c>
      <c r="J623" s="1">
        <v>46177</v>
      </c>
      <c r="K623" t="s">
        <v>1039</v>
      </c>
    </row>
    <row r="624" spans="1:11" x14ac:dyDescent="0.45">
      <c r="A624" t="s">
        <v>634</v>
      </c>
      <c r="B624" t="s">
        <v>1029</v>
      </c>
      <c r="C624">
        <v>65</v>
      </c>
      <c r="D624">
        <v>2</v>
      </c>
      <c r="E624" t="s">
        <v>1025</v>
      </c>
      <c r="F624" t="s">
        <v>1032</v>
      </c>
      <c r="G624" t="s">
        <v>1</v>
      </c>
      <c r="H624" t="s">
        <v>2</v>
      </c>
      <c r="I624" t="s">
        <v>1027</v>
      </c>
      <c r="J624" s="1">
        <v>46177</v>
      </c>
      <c r="K624" t="s">
        <v>1039</v>
      </c>
    </row>
    <row r="625" spans="1:11" x14ac:dyDescent="0.45">
      <c r="A625" t="s">
        <v>635</v>
      </c>
      <c r="B625" t="s">
        <v>1029</v>
      </c>
      <c r="C625">
        <v>49</v>
      </c>
      <c r="D625">
        <v>2</v>
      </c>
      <c r="E625" t="s">
        <v>1025</v>
      </c>
      <c r="F625" t="s">
        <v>1031</v>
      </c>
      <c r="G625" t="s">
        <v>1</v>
      </c>
      <c r="H625" t="s">
        <v>2</v>
      </c>
      <c r="I625" t="s">
        <v>1027</v>
      </c>
      <c r="J625" s="1">
        <v>46177</v>
      </c>
      <c r="K625" t="s">
        <v>1039</v>
      </c>
    </row>
    <row r="626" spans="1:11" x14ac:dyDescent="0.45">
      <c r="A626" t="s">
        <v>636</v>
      </c>
      <c r="B626" t="s">
        <v>1029</v>
      </c>
      <c r="C626">
        <v>58</v>
      </c>
      <c r="D626">
        <v>25</v>
      </c>
      <c r="E626" t="s">
        <v>1034</v>
      </c>
      <c r="F626" t="s">
        <v>1032</v>
      </c>
      <c r="G626" t="s">
        <v>1035</v>
      </c>
      <c r="H626" t="s">
        <v>3</v>
      </c>
      <c r="I626" t="s">
        <v>1027</v>
      </c>
      <c r="J626" s="1">
        <v>46177</v>
      </c>
      <c r="K626" t="s">
        <v>1039</v>
      </c>
    </row>
    <row r="627" spans="1:11" x14ac:dyDescent="0.45">
      <c r="A627" t="s">
        <v>637</v>
      </c>
      <c r="B627" t="s">
        <v>1024</v>
      </c>
      <c r="C627">
        <v>22</v>
      </c>
      <c r="D627">
        <v>1</v>
      </c>
      <c r="E627" t="s">
        <v>1025</v>
      </c>
      <c r="F627" t="s">
        <v>1033</v>
      </c>
      <c r="G627" t="s">
        <v>1</v>
      </c>
      <c r="H627" t="s">
        <v>2</v>
      </c>
      <c r="I627" t="s">
        <v>1027</v>
      </c>
      <c r="J627" s="1">
        <v>46177</v>
      </c>
      <c r="K627" t="s">
        <v>1039</v>
      </c>
    </row>
    <row r="628" spans="1:11" x14ac:dyDescent="0.45">
      <c r="A628" t="s">
        <v>638</v>
      </c>
      <c r="B628" t="s">
        <v>1029</v>
      </c>
      <c r="C628">
        <v>60</v>
      </c>
      <c r="D628">
        <v>1</v>
      </c>
      <c r="E628" t="s">
        <v>1025</v>
      </c>
      <c r="F628" t="s">
        <v>1026</v>
      </c>
      <c r="G628" t="s">
        <v>1</v>
      </c>
      <c r="H628" t="s">
        <v>2</v>
      </c>
      <c r="I628" t="s">
        <v>1027</v>
      </c>
      <c r="J628" s="1">
        <v>46177</v>
      </c>
      <c r="K628" t="s">
        <v>1039</v>
      </c>
    </row>
    <row r="629" spans="1:11" x14ac:dyDescent="0.45">
      <c r="A629" t="s">
        <v>639</v>
      </c>
      <c r="B629" t="s">
        <v>1024</v>
      </c>
      <c r="C629">
        <v>22</v>
      </c>
      <c r="D629">
        <v>0</v>
      </c>
      <c r="E629" t="s">
        <v>1025</v>
      </c>
      <c r="F629" t="s">
        <v>1031</v>
      </c>
      <c r="G629" t="s">
        <v>1</v>
      </c>
      <c r="H629" t="s">
        <v>2</v>
      </c>
      <c r="I629" t="s">
        <v>1027</v>
      </c>
      <c r="J629" s="1">
        <v>46177</v>
      </c>
      <c r="K629" t="s">
        <v>1039</v>
      </c>
    </row>
    <row r="630" spans="1:11" x14ac:dyDescent="0.45">
      <c r="A630" t="s">
        <v>640</v>
      </c>
      <c r="B630" t="s">
        <v>1030</v>
      </c>
      <c r="C630">
        <v>42</v>
      </c>
      <c r="D630">
        <v>1</v>
      </c>
      <c r="E630" t="s">
        <v>1025</v>
      </c>
      <c r="F630" t="s">
        <v>1033</v>
      </c>
      <c r="G630" t="s">
        <v>1</v>
      </c>
      <c r="H630" t="s">
        <v>2</v>
      </c>
      <c r="I630" t="s">
        <v>1027</v>
      </c>
      <c r="J630" s="1">
        <v>46177</v>
      </c>
      <c r="K630" t="s">
        <v>1039</v>
      </c>
    </row>
    <row r="631" spans="1:11" x14ac:dyDescent="0.45">
      <c r="A631" t="s">
        <v>641</v>
      </c>
      <c r="B631" t="s">
        <v>1024</v>
      </c>
      <c r="C631">
        <v>22</v>
      </c>
      <c r="D631">
        <v>1</v>
      </c>
      <c r="E631" t="s">
        <v>1025</v>
      </c>
      <c r="F631" t="s">
        <v>1033</v>
      </c>
      <c r="G631" t="s">
        <v>1</v>
      </c>
      <c r="H631" t="s">
        <v>2</v>
      </c>
      <c r="I631" t="s">
        <v>1027</v>
      </c>
      <c r="J631" s="1">
        <v>46177</v>
      </c>
      <c r="K631" t="s">
        <v>1039</v>
      </c>
    </row>
    <row r="632" spans="1:11" x14ac:dyDescent="0.45">
      <c r="A632" t="s">
        <v>642</v>
      </c>
      <c r="B632" t="s">
        <v>1029</v>
      </c>
      <c r="C632">
        <v>54</v>
      </c>
      <c r="D632">
        <v>0</v>
      </c>
      <c r="E632" t="s">
        <v>1025</v>
      </c>
      <c r="F632" t="s">
        <v>1031</v>
      </c>
      <c r="G632" t="s">
        <v>1</v>
      </c>
      <c r="H632" t="s">
        <v>2</v>
      </c>
      <c r="I632" t="s">
        <v>1027</v>
      </c>
      <c r="J632" s="1">
        <v>46177</v>
      </c>
      <c r="K632" t="s">
        <v>1039</v>
      </c>
    </row>
    <row r="633" spans="1:11" x14ac:dyDescent="0.45">
      <c r="A633" t="s">
        <v>643</v>
      </c>
      <c r="B633" t="s">
        <v>1030</v>
      </c>
      <c r="C633">
        <v>30</v>
      </c>
      <c r="D633">
        <v>3</v>
      </c>
      <c r="E633" t="s">
        <v>1025</v>
      </c>
      <c r="F633" t="s">
        <v>1033</v>
      </c>
      <c r="G633" t="s">
        <v>1</v>
      </c>
      <c r="H633" t="s">
        <v>2</v>
      </c>
      <c r="I633" t="s">
        <v>1027</v>
      </c>
      <c r="J633" s="1">
        <v>46177</v>
      </c>
      <c r="K633" t="s">
        <v>1039</v>
      </c>
    </row>
    <row r="634" spans="1:11" x14ac:dyDescent="0.45">
      <c r="A634" t="s">
        <v>644</v>
      </c>
      <c r="B634" t="s">
        <v>1030</v>
      </c>
      <c r="C634">
        <v>41</v>
      </c>
      <c r="D634">
        <v>2</v>
      </c>
      <c r="E634" t="s">
        <v>1025</v>
      </c>
      <c r="F634" t="s">
        <v>1032</v>
      </c>
      <c r="G634" t="s">
        <v>1</v>
      </c>
      <c r="H634" t="s">
        <v>2</v>
      </c>
      <c r="I634" t="s">
        <v>1027</v>
      </c>
      <c r="J634" s="1">
        <v>46177</v>
      </c>
      <c r="K634" t="s">
        <v>1039</v>
      </c>
    </row>
    <row r="635" spans="1:11" x14ac:dyDescent="0.45">
      <c r="A635" t="s">
        <v>645</v>
      </c>
      <c r="B635" t="s">
        <v>1029</v>
      </c>
      <c r="C635">
        <v>65</v>
      </c>
      <c r="D635">
        <v>0</v>
      </c>
      <c r="E635" t="s">
        <v>1025</v>
      </c>
      <c r="F635" t="s">
        <v>1032</v>
      </c>
      <c r="G635" t="s">
        <v>1</v>
      </c>
      <c r="H635" t="s">
        <v>2</v>
      </c>
      <c r="I635" t="s">
        <v>1027</v>
      </c>
      <c r="J635" s="1">
        <v>46177</v>
      </c>
      <c r="K635" t="s">
        <v>1039</v>
      </c>
    </row>
    <row r="636" spans="1:11" x14ac:dyDescent="0.45">
      <c r="A636" t="s">
        <v>646</v>
      </c>
      <c r="B636" t="s">
        <v>1024</v>
      </c>
      <c r="C636">
        <v>15</v>
      </c>
      <c r="D636">
        <v>0</v>
      </c>
      <c r="E636" t="s">
        <v>1025</v>
      </c>
      <c r="F636" t="s">
        <v>1031</v>
      </c>
      <c r="G636" t="s">
        <v>1</v>
      </c>
      <c r="H636" t="s">
        <v>2</v>
      </c>
      <c r="I636" t="s">
        <v>1027</v>
      </c>
      <c r="J636" s="1">
        <v>46177</v>
      </c>
      <c r="K636" t="s">
        <v>1039</v>
      </c>
    </row>
    <row r="637" spans="1:11" x14ac:dyDescent="0.45">
      <c r="A637" t="s">
        <v>647</v>
      </c>
      <c r="B637" t="s">
        <v>1030</v>
      </c>
      <c r="C637">
        <v>38</v>
      </c>
      <c r="D637">
        <v>4</v>
      </c>
      <c r="E637" t="s">
        <v>1025</v>
      </c>
      <c r="F637" t="s">
        <v>1031</v>
      </c>
      <c r="G637" t="s">
        <v>1</v>
      </c>
      <c r="H637" t="s">
        <v>2</v>
      </c>
      <c r="I637" t="s">
        <v>1027</v>
      </c>
      <c r="J637" s="1">
        <v>46177</v>
      </c>
      <c r="K637" t="s">
        <v>1039</v>
      </c>
    </row>
    <row r="638" spans="1:11" x14ac:dyDescent="0.45">
      <c r="A638" t="s">
        <v>648</v>
      </c>
      <c r="B638" t="s">
        <v>1024</v>
      </c>
      <c r="C638">
        <v>17</v>
      </c>
      <c r="D638">
        <v>2</v>
      </c>
      <c r="E638" t="s">
        <v>1025</v>
      </c>
      <c r="F638" t="s">
        <v>1031</v>
      </c>
      <c r="G638" t="s">
        <v>1</v>
      </c>
      <c r="H638" t="s">
        <v>2</v>
      </c>
      <c r="I638" t="s">
        <v>1027</v>
      </c>
      <c r="J638" s="1">
        <v>46177</v>
      </c>
      <c r="K638" t="s">
        <v>1039</v>
      </c>
    </row>
    <row r="639" spans="1:11" x14ac:dyDescent="0.45">
      <c r="A639" t="s">
        <v>649</v>
      </c>
      <c r="B639" t="s">
        <v>1029</v>
      </c>
      <c r="C639">
        <v>61</v>
      </c>
      <c r="D639">
        <v>1</v>
      </c>
      <c r="E639" t="s">
        <v>1025</v>
      </c>
      <c r="F639" t="s">
        <v>1026</v>
      </c>
      <c r="G639" t="s">
        <v>1</v>
      </c>
      <c r="H639" t="s">
        <v>2</v>
      </c>
      <c r="I639" t="s">
        <v>1027</v>
      </c>
      <c r="J639" s="1">
        <v>46177</v>
      </c>
      <c r="K639" t="s">
        <v>1039</v>
      </c>
    </row>
    <row r="640" spans="1:11" x14ac:dyDescent="0.45">
      <c r="A640" t="s">
        <v>650</v>
      </c>
      <c r="B640" t="s">
        <v>1029</v>
      </c>
      <c r="C640">
        <v>53</v>
      </c>
      <c r="D640">
        <v>0</v>
      </c>
      <c r="E640" t="s">
        <v>1025</v>
      </c>
      <c r="F640" t="s">
        <v>1032</v>
      </c>
      <c r="G640" t="s">
        <v>1</v>
      </c>
      <c r="H640" t="s">
        <v>2</v>
      </c>
      <c r="I640" t="s">
        <v>1027</v>
      </c>
      <c r="J640" s="1">
        <v>46177</v>
      </c>
      <c r="K640" t="s">
        <v>1039</v>
      </c>
    </row>
    <row r="641" spans="1:11" x14ac:dyDescent="0.45">
      <c r="A641" t="s">
        <v>651</v>
      </c>
      <c r="B641" t="s">
        <v>1024</v>
      </c>
      <c r="C641">
        <v>12</v>
      </c>
      <c r="D641">
        <v>5</v>
      </c>
      <c r="E641" t="s">
        <v>1025</v>
      </c>
      <c r="F641" t="s">
        <v>1032</v>
      </c>
      <c r="G641" t="s">
        <v>1</v>
      </c>
      <c r="H641" t="s">
        <v>2</v>
      </c>
      <c r="I641" t="s">
        <v>1027</v>
      </c>
      <c r="J641" s="1">
        <v>46177</v>
      </c>
      <c r="K641" t="s">
        <v>1039</v>
      </c>
    </row>
    <row r="642" spans="1:11" x14ac:dyDescent="0.45">
      <c r="A642" t="s">
        <v>652</v>
      </c>
      <c r="B642" t="s">
        <v>1024</v>
      </c>
      <c r="C642">
        <v>19</v>
      </c>
      <c r="D642">
        <v>2</v>
      </c>
      <c r="E642" t="s">
        <v>1025</v>
      </c>
      <c r="F642" t="s">
        <v>1032</v>
      </c>
      <c r="G642" t="s">
        <v>1</v>
      </c>
      <c r="H642" t="s">
        <v>2</v>
      </c>
      <c r="I642" t="s">
        <v>1027</v>
      </c>
      <c r="J642" s="1">
        <v>46177</v>
      </c>
      <c r="K642" t="s">
        <v>1039</v>
      </c>
    </row>
    <row r="643" spans="1:11" x14ac:dyDescent="0.45">
      <c r="A643" t="s">
        <v>653</v>
      </c>
      <c r="B643" t="s">
        <v>1029</v>
      </c>
      <c r="C643">
        <v>58</v>
      </c>
      <c r="D643">
        <v>0</v>
      </c>
      <c r="E643" t="s">
        <v>1025</v>
      </c>
      <c r="F643" t="s">
        <v>1033</v>
      </c>
      <c r="G643" t="s">
        <v>1</v>
      </c>
      <c r="H643" t="s">
        <v>2</v>
      </c>
      <c r="I643" t="s">
        <v>1027</v>
      </c>
      <c r="J643" s="1">
        <v>46177</v>
      </c>
      <c r="K643" t="s">
        <v>1039</v>
      </c>
    </row>
    <row r="644" spans="1:11" x14ac:dyDescent="0.45">
      <c r="A644" t="s">
        <v>654</v>
      </c>
      <c r="B644" t="s">
        <v>1029</v>
      </c>
      <c r="C644">
        <v>47</v>
      </c>
      <c r="D644">
        <v>1</v>
      </c>
      <c r="E644" t="s">
        <v>1025</v>
      </c>
      <c r="F644" t="s">
        <v>1026</v>
      </c>
      <c r="G644" t="s">
        <v>1</v>
      </c>
      <c r="H644" t="s">
        <v>2</v>
      </c>
      <c r="I644" t="s">
        <v>1027</v>
      </c>
      <c r="J644" s="1">
        <v>46177</v>
      </c>
      <c r="K644" t="s">
        <v>1039</v>
      </c>
    </row>
    <row r="645" spans="1:11" x14ac:dyDescent="0.45">
      <c r="A645" t="s">
        <v>655</v>
      </c>
      <c r="B645" t="s">
        <v>1029</v>
      </c>
      <c r="C645">
        <v>49</v>
      </c>
      <c r="D645">
        <v>0</v>
      </c>
      <c r="E645" t="s">
        <v>1025</v>
      </c>
      <c r="F645" t="s">
        <v>1032</v>
      </c>
      <c r="G645" t="s">
        <v>1</v>
      </c>
      <c r="H645" t="s">
        <v>2</v>
      </c>
      <c r="I645" t="s">
        <v>1027</v>
      </c>
      <c r="J645" s="1">
        <v>46177</v>
      </c>
      <c r="K645" t="s">
        <v>1039</v>
      </c>
    </row>
    <row r="646" spans="1:11" x14ac:dyDescent="0.45">
      <c r="A646" t="s">
        <v>656</v>
      </c>
      <c r="B646" t="s">
        <v>1030</v>
      </c>
      <c r="C646">
        <v>48</v>
      </c>
      <c r="D646">
        <v>2</v>
      </c>
      <c r="E646" t="s">
        <v>1025</v>
      </c>
      <c r="F646" t="s">
        <v>1026</v>
      </c>
      <c r="G646" t="s">
        <v>1</v>
      </c>
      <c r="H646" t="s">
        <v>2</v>
      </c>
      <c r="I646" t="s">
        <v>1027</v>
      </c>
      <c r="J646" s="1">
        <v>46177</v>
      </c>
      <c r="K646" t="s">
        <v>1039</v>
      </c>
    </row>
    <row r="647" spans="1:11" x14ac:dyDescent="0.45">
      <c r="A647" t="s">
        <v>657</v>
      </c>
      <c r="B647" t="s">
        <v>1030</v>
      </c>
      <c r="C647">
        <v>45</v>
      </c>
      <c r="D647">
        <v>0</v>
      </c>
      <c r="E647" t="s">
        <v>1025</v>
      </c>
      <c r="F647" t="s">
        <v>1033</v>
      </c>
      <c r="G647" t="s">
        <v>1</v>
      </c>
      <c r="H647" t="s">
        <v>2</v>
      </c>
      <c r="I647" t="s">
        <v>1027</v>
      </c>
      <c r="J647" s="1">
        <v>46177</v>
      </c>
      <c r="K647" t="s">
        <v>1039</v>
      </c>
    </row>
    <row r="648" spans="1:11" x14ac:dyDescent="0.45">
      <c r="A648" t="s">
        <v>658</v>
      </c>
      <c r="B648" t="s">
        <v>1029</v>
      </c>
      <c r="C648">
        <v>48</v>
      </c>
      <c r="D648">
        <v>0</v>
      </c>
      <c r="E648" t="s">
        <v>1025</v>
      </c>
      <c r="F648" t="s">
        <v>1033</v>
      </c>
      <c r="G648" t="s">
        <v>1</v>
      </c>
      <c r="H648" t="s">
        <v>2</v>
      </c>
      <c r="I648" t="s">
        <v>1027</v>
      </c>
      <c r="J648" s="1">
        <v>46177</v>
      </c>
      <c r="K648" t="s">
        <v>1039</v>
      </c>
    </row>
    <row r="649" spans="1:11" x14ac:dyDescent="0.45">
      <c r="A649" t="s">
        <v>659</v>
      </c>
      <c r="B649" t="s">
        <v>1030</v>
      </c>
      <c r="C649">
        <v>30</v>
      </c>
      <c r="D649">
        <v>2</v>
      </c>
      <c r="E649" t="s">
        <v>1025</v>
      </c>
      <c r="F649" t="s">
        <v>1032</v>
      </c>
      <c r="G649" t="s">
        <v>1</v>
      </c>
      <c r="H649" t="s">
        <v>2</v>
      </c>
      <c r="I649" t="s">
        <v>1027</v>
      </c>
      <c r="J649" s="1">
        <v>46177</v>
      </c>
      <c r="K649" t="s">
        <v>1039</v>
      </c>
    </row>
    <row r="650" spans="1:11" x14ac:dyDescent="0.45">
      <c r="A650" t="s">
        <v>660</v>
      </c>
      <c r="B650" t="s">
        <v>1024</v>
      </c>
      <c r="C650">
        <v>19</v>
      </c>
      <c r="D650">
        <v>0</v>
      </c>
      <c r="E650" t="s">
        <v>1025</v>
      </c>
      <c r="F650" t="s">
        <v>1031</v>
      </c>
      <c r="G650" t="s">
        <v>1</v>
      </c>
      <c r="H650" t="s">
        <v>2</v>
      </c>
      <c r="I650" t="s">
        <v>1027</v>
      </c>
      <c r="J650" s="1">
        <v>46177</v>
      </c>
      <c r="K650" t="s">
        <v>1039</v>
      </c>
    </row>
    <row r="651" spans="1:11" x14ac:dyDescent="0.45">
      <c r="A651" t="s">
        <v>661</v>
      </c>
      <c r="B651" t="s">
        <v>1030</v>
      </c>
      <c r="C651">
        <v>32</v>
      </c>
      <c r="D651">
        <v>3</v>
      </c>
      <c r="E651" t="s">
        <v>1025</v>
      </c>
      <c r="F651" t="s">
        <v>1026</v>
      </c>
      <c r="G651" t="s">
        <v>1</v>
      </c>
      <c r="H651" t="s">
        <v>2</v>
      </c>
      <c r="I651" t="s">
        <v>1027</v>
      </c>
      <c r="J651" s="1">
        <v>46177</v>
      </c>
      <c r="K651" t="s">
        <v>1039</v>
      </c>
    </row>
    <row r="652" spans="1:11" x14ac:dyDescent="0.45">
      <c r="A652" t="s">
        <v>662</v>
      </c>
      <c r="B652" t="s">
        <v>1024</v>
      </c>
      <c r="C652">
        <v>16</v>
      </c>
      <c r="D652">
        <v>1</v>
      </c>
      <c r="E652" t="s">
        <v>1025</v>
      </c>
      <c r="F652" t="s">
        <v>1033</v>
      </c>
      <c r="G652" t="s">
        <v>1</v>
      </c>
      <c r="H652" t="s">
        <v>2</v>
      </c>
      <c r="I652" t="s">
        <v>1027</v>
      </c>
      <c r="J652" s="1">
        <v>46177</v>
      </c>
      <c r="K652" t="s">
        <v>1039</v>
      </c>
    </row>
    <row r="653" spans="1:11" x14ac:dyDescent="0.45">
      <c r="A653" t="s">
        <v>663</v>
      </c>
      <c r="B653" t="s">
        <v>1024</v>
      </c>
      <c r="C653">
        <v>10</v>
      </c>
      <c r="D653">
        <v>0</v>
      </c>
      <c r="E653" t="s">
        <v>1025</v>
      </c>
      <c r="F653" t="s">
        <v>1033</v>
      </c>
      <c r="G653" t="s">
        <v>1</v>
      </c>
      <c r="H653" t="s">
        <v>2</v>
      </c>
      <c r="I653" t="s">
        <v>1027</v>
      </c>
      <c r="J653" s="1">
        <v>46177</v>
      </c>
      <c r="K653" t="s">
        <v>1039</v>
      </c>
    </row>
    <row r="654" spans="1:11" x14ac:dyDescent="0.45">
      <c r="A654" t="s">
        <v>664</v>
      </c>
      <c r="B654" t="s">
        <v>1024</v>
      </c>
      <c r="C654">
        <v>11</v>
      </c>
      <c r="D654">
        <v>3</v>
      </c>
      <c r="E654" t="s">
        <v>1025</v>
      </c>
      <c r="F654" t="s">
        <v>1031</v>
      </c>
      <c r="G654" t="s">
        <v>1</v>
      </c>
      <c r="H654" t="s">
        <v>2</v>
      </c>
      <c r="I654" t="s">
        <v>1027</v>
      </c>
      <c r="J654" s="1">
        <v>46177</v>
      </c>
      <c r="K654" t="s">
        <v>1039</v>
      </c>
    </row>
    <row r="655" spans="1:11" x14ac:dyDescent="0.45">
      <c r="A655" t="s">
        <v>665</v>
      </c>
      <c r="B655" t="s">
        <v>1029</v>
      </c>
      <c r="C655">
        <v>50</v>
      </c>
      <c r="D655">
        <v>3</v>
      </c>
      <c r="E655" t="s">
        <v>1025</v>
      </c>
      <c r="F655" t="s">
        <v>1033</v>
      </c>
      <c r="G655" t="s">
        <v>1</v>
      </c>
      <c r="H655" t="s">
        <v>2</v>
      </c>
      <c r="I655" t="s">
        <v>1027</v>
      </c>
      <c r="J655" s="1">
        <v>46177</v>
      </c>
      <c r="K655" t="s">
        <v>1039</v>
      </c>
    </row>
    <row r="656" spans="1:11" x14ac:dyDescent="0.45">
      <c r="A656" t="s">
        <v>666</v>
      </c>
      <c r="B656" t="s">
        <v>1024</v>
      </c>
      <c r="C656">
        <v>23</v>
      </c>
      <c r="D656">
        <v>2</v>
      </c>
      <c r="E656" t="s">
        <v>1025</v>
      </c>
      <c r="F656" t="s">
        <v>1026</v>
      </c>
      <c r="G656" t="s">
        <v>1</v>
      </c>
      <c r="H656" t="s">
        <v>2</v>
      </c>
      <c r="I656" t="s">
        <v>1027</v>
      </c>
      <c r="J656" s="1">
        <v>46177</v>
      </c>
      <c r="K656" t="s">
        <v>1039</v>
      </c>
    </row>
    <row r="657" spans="1:11" x14ac:dyDescent="0.45">
      <c r="A657" t="s">
        <v>667</v>
      </c>
      <c r="B657" t="s">
        <v>1024</v>
      </c>
      <c r="C657">
        <v>10</v>
      </c>
      <c r="D657">
        <v>27</v>
      </c>
      <c r="E657" t="s">
        <v>1034</v>
      </c>
      <c r="F657" t="s">
        <v>1032</v>
      </c>
      <c r="G657" t="s">
        <v>1035</v>
      </c>
      <c r="H657" t="s">
        <v>3</v>
      </c>
      <c r="I657" t="s">
        <v>1027</v>
      </c>
      <c r="J657" s="1">
        <v>46177</v>
      </c>
      <c r="K657" t="s">
        <v>1039</v>
      </c>
    </row>
    <row r="658" spans="1:11" x14ac:dyDescent="0.45">
      <c r="A658" t="s">
        <v>668</v>
      </c>
      <c r="B658" t="s">
        <v>1024</v>
      </c>
      <c r="C658">
        <v>25</v>
      </c>
      <c r="D658">
        <v>3</v>
      </c>
      <c r="E658" t="s">
        <v>1025</v>
      </c>
      <c r="F658" t="s">
        <v>1031</v>
      </c>
      <c r="G658" t="s">
        <v>1</v>
      </c>
      <c r="H658" t="s">
        <v>2</v>
      </c>
      <c r="I658" t="s">
        <v>1027</v>
      </c>
      <c r="J658" s="1">
        <v>46177</v>
      </c>
      <c r="K658" t="s">
        <v>1039</v>
      </c>
    </row>
    <row r="659" spans="1:11" x14ac:dyDescent="0.45">
      <c r="A659" t="s">
        <v>669</v>
      </c>
      <c r="B659" t="s">
        <v>1024</v>
      </c>
      <c r="C659">
        <v>24</v>
      </c>
      <c r="D659">
        <v>0</v>
      </c>
      <c r="E659" t="s">
        <v>1025</v>
      </c>
      <c r="F659" t="s">
        <v>1033</v>
      </c>
      <c r="G659" t="s">
        <v>1</v>
      </c>
      <c r="H659" t="s">
        <v>2</v>
      </c>
      <c r="I659" t="s">
        <v>1027</v>
      </c>
      <c r="J659" s="1">
        <v>46177</v>
      </c>
      <c r="K659" t="s">
        <v>1039</v>
      </c>
    </row>
    <row r="660" spans="1:11" x14ac:dyDescent="0.45">
      <c r="A660" t="s">
        <v>670</v>
      </c>
      <c r="B660" t="s">
        <v>1024</v>
      </c>
      <c r="C660">
        <v>17</v>
      </c>
      <c r="D660">
        <v>0</v>
      </c>
      <c r="E660" t="s">
        <v>1025</v>
      </c>
      <c r="F660" t="s">
        <v>1032</v>
      </c>
      <c r="G660" t="s">
        <v>1</v>
      </c>
      <c r="H660" t="s">
        <v>2</v>
      </c>
      <c r="I660" t="s">
        <v>1027</v>
      </c>
      <c r="J660" s="1">
        <v>46177</v>
      </c>
      <c r="K660" t="s">
        <v>1039</v>
      </c>
    </row>
    <row r="661" spans="1:11" x14ac:dyDescent="0.45">
      <c r="A661" t="s">
        <v>671</v>
      </c>
      <c r="B661" t="s">
        <v>1029</v>
      </c>
      <c r="C661">
        <v>56</v>
      </c>
      <c r="D661">
        <v>5</v>
      </c>
      <c r="E661" t="s">
        <v>1025</v>
      </c>
      <c r="F661" t="s">
        <v>1033</v>
      </c>
      <c r="G661" t="s">
        <v>1</v>
      </c>
      <c r="H661" t="s">
        <v>2</v>
      </c>
      <c r="I661" t="s">
        <v>1027</v>
      </c>
      <c r="J661" s="1">
        <v>46177</v>
      </c>
      <c r="K661" t="s">
        <v>1039</v>
      </c>
    </row>
    <row r="662" spans="1:11" x14ac:dyDescent="0.45">
      <c r="A662" t="s">
        <v>672</v>
      </c>
      <c r="B662" t="s">
        <v>1029</v>
      </c>
      <c r="C662">
        <v>48</v>
      </c>
      <c r="D662">
        <v>2</v>
      </c>
      <c r="E662" t="s">
        <v>1025</v>
      </c>
      <c r="F662" t="s">
        <v>1033</v>
      </c>
      <c r="G662" t="s">
        <v>1</v>
      </c>
      <c r="H662" t="s">
        <v>2</v>
      </c>
      <c r="I662" t="s">
        <v>1027</v>
      </c>
      <c r="J662" s="1">
        <v>46177</v>
      </c>
      <c r="K662" t="s">
        <v>1039</v>
      </c>
    </row>
    <row r="663" spans="1:11" x14ac:dyDescent="0.45">
      <c r="A663" t="s">
        <v>673</v>
      </c>
      <c r="B663" t="s">
        <v>1030</v>
      </c>
      <c r="C663">
        <v>38</v>
      </c>
      <c r="D663">
        <v>5</v>
      </c>
      <c r="E663" t="s">
        <v>1025</v>
      </c>
      <c r="F663" t="s">
        <v>1031</v>
      </c>
      <c r="G663" t="s">
        <v>1</v>
      </c>
      <c r="H663" t="s">
        <v>2</v>
      </c>
      <c r="I663" t="s">
        <v>1027</v>
      </c>
      <c r="J663" s="1">
        <v>46177</v>
      </c>
      <c r="K663" t="s">
        <v>1039</v>
      </c>
    </row>
    <row r="664" spans="1:11" x14ac:dyDescent="0.45">
      <c r="A664" t="s">
        <v>674</v>
      </c>
      <c r="B664" t="s">
        <v>1030</v>
      </c>
      <c r="C664">
        <v>31</v>
      </c>
      <c r="D664">
        <v>3</v>
      </c>
      <c r="E664" t="s">
        <v>1025</v>
      </c>
      <c r="F664" t="s">
        <v>1032</v>
      </c>
      <c r="G664" t="s">
        <v>1</v>
      </c>
      <c r="H664" t="s">
        <v>2</v>
      </c>
      <c r="I664" t="s">
        <v>1027</v>
      </c>
      <c r="J664" s="1">
        <v>46177</v>
      </c>
      <c r="K664" t="s">
        <v>1039</v>
      </c>
    </row>
    <row r="665" spans="1:11" x14ac:dyDescent="0.45">
      <c r="A665" t="s">
        <v>675</v>
      </c>
      <c r="B665" t="s">
        <v>1030</v>
      </c>
      <c r="C665">
        <v>48</v>
      </c>
      <c r="D665">
        <v>0</v>
      </c>
      <c r="E665" t="s">
        <v>1025</v>
      </c>
      <c r="F665" t="s">
        <v>1033</v>
      </c>
      <c r="G665" t="s">
        <v>1</v>
      </c>
      <c r="H665" t="s">
        <v>2</v>
      </c>
      <c r="I665" t="s">
        <v>1027</v>
      </c>
      <c r="J665" s="1">
        <v>46177</v>
      </c>
      <c r="K665" t="s">
        <v>1039</v>
      </c>
    </row>
    <row r="666" spans="1:11" x14ac:dyDescent="0.45">
      <c r="A666" t="s">
        <v>676</v>
      </c>
      <c r="B666" t="s">
        <v>1029</v>
      </c>
      <c r="C666">
        <v>65</v>
      </c>
      <c r="D666">
        <v>1</v>
      </c>
      <c r="E666" t="s">
        <v>1025</v>
      </c>
      <c r="F666" t="s">
        <v>1026</v>
      </c>
      <c r="G666" t="s">
        <v>1</v>
      </c>
      <c r="H666" t="s">
        <v>2</v>
      </c>
      <c r="I666" t="s">
        <v>1027</v>
      </c>
      <c r="J666" s="1">
        <v>46177</v>
      </c>
      <c r="K666" t="s">
        <v>1039</v>
      </c>
    </row>
    <row r="667" spans="1:11" x14ac:dyDescent="0.45">
      <c r="A667" t="s">
        <v>677</v>
      </c>
      <c r="B667" t="s">
        <v>1029</v>
      </c>
      <c r="C667">
        <v>64</v>
      </c>
      <c r="D667">
        <v>0</v>
      </c>
      <c r="E667" t="s">
        <v>1025</v>
      </c>
      <c r="F667" t="s">
        <v>1031</v>
      </c>
      <c r="G667" t="s">
        <v>1</v>
      </c>
      <c r="H667" t="s">
        <v>2</v>
      </c>
      <c r="I667" t="s">
        <v>1027</v>
      </c>
      <c r="J667" s="1">
        <v>46177</v>
      </c>
      <c r="K667" t="s">
        <v>1039</v>
      </c>
    </row>
    <row r="668" spans="1:11" x14ac:dyDescent="0.45">
      <c r="A668" t="s">
        <v>678</v>
      </c>
      <c r="B668" t="s">
        <v>1030</v>
      </c>
      <c r="C668">
        <v>41</v>
      </c>
      <c r="D668">
        <v>1</v>
      </c>
      <c r="E668" t="s">
        <v>1025</v>
      </c>
      <c r="F668" t="s">
        <v>1033</v>
      </c>
      <c r="G668" t="s">
        <v>1</v>
      </c>
      <c r="H668" t="s">
        <v>2</v>
      </c>
      <c r="I668" t="s">
        <v>1027</v>
      </c>
      <c r="J668" s="1">
        <v>46177</v>
      </c>
      <c r="K668" t="s">
        <v>1039</v>
      </c>
    </row>
    <row r="669" spans="1:11" x14ac:dyDescent="0.45">
      <c r="A669" t="s">
        <v>679</v>
      </c>
      <c r="B669" t="s">
        <v>1030</v>
      </c>
      <c r="C669">
        <v>33</v>
      </c>
      <c r="D669">
        <v>3</v>
      </c>
      <c r="E669" t="s">
        <v>1025</v>
      </c>
      <c r="F669" t="s">
        <v>1033</v>
      </c>
      <c r="G669" t="s">
        <v>1</v>
      </c>
      <c r="H669" t="s">
        <v>2</v>
      </c>
      <c r="I669" t="s">
        <v>1027</v>
      </c>
      <c r="J669" s="1">
        <v>46177</v>
      </c>
      <c r="K669" t="s">
        <v>1039</v>
      </c>
    </row>
    <row r="670" spans="1:11" x14ac:dyDescent="0.45">
      <c r="A670" t="s">
        <v>680</v>
      </c>
      <c r="B670" t="s">
        <v>1029</v>
      </c>
      <c r="C670">
        <v>56</v>
      </c>
      <c r="D670">
        <v>3</v>
      </c>
      <c r="E670" t="s">
        <v>1025</v>
      </c>
      <c r="F670" t="s">
        <v>1026</v>
      </c>
      <c r="G670" t="s">
        <v>1</v>
      </c>
      <c r="H670" t="s">
        <v>2</v>
      </c>
      <c r="I670" t="s">
        <v>1027</v>
      </c>
      <c r="J670" s="1">
        <v>46177</v>
      </c>
      <c r="K670" t="s">
        <v>1039</v>
      </c>
    </row>
    <row r="671" spans="1:11" x14ac:dyDescent="0.45">
      <c r="A671" t="s">
        <v>681</v>
      </c>
      <c r="B671" t="s">
        <v>1024</v>
      </c>
      <c r="C671">
        <v>10</v>
      </c>
      <c r="D671">
        <v>1</v>
      </c>
      <c r="E671" t="s">
        <v>1025</v>
      </c>
      <c r="F671" t="s">
        <v>1033</v>
      </c>
      <c r="G671" t="s">
        <v>1</v>
      </c>
      <c r="H671" t="s">
        <v>2</v>
      </c>
      <c r="I671" t="s">
        <v>1027</v>
      </c>
      <c r="J671" s="1">
        <v>46177</v>
      </c>
      <c r="K671" t="s">
        <v>1039</v>
      </c>
    </row>
    <row r="672" spans="1:11" x14ac:dyDescent="0.45">
      <c r="A672" t="s">
        <v>682</v>
      </c>
      <c r="B672" t="s">
        <v>1024</v>
      </c>
      <c r="C672">
        <v>13</v>
      </c>
      <c r="D672">
        <v>0</v>
      </c>
      <c r="E672" t="s">
        <v>1025</v>
      </c>
      <c r="F672" t="s">
        <v>1031</v>
      </c>
      <c r="G672" t="s">
        <v>1</v>
      </c>
      <c r="H672" t="s">
        <v>2</v>
      </c>
      <c r="I672" t="s">
        <v>1027</v>
      </c>
      <c r="J672" s="1">
        <v>46177</v>
      </c>
      <c r="K672" t="s">
        <v>1039</v>
      </c>
    </row>
    <row r="673" spans="1:11" x14ac:dyDescent="0.45">
      <c r="A673" t="s">
        <v>683</v>
      </c>
      <c r="B673" t="s">
        <v>1029</v>
      </c>
      <c r="C673">
        <v>59</v>
      </c>
      <c r="D673">
        <v>5</v>
      </c>
      <c r="E673" t="s">
        <v>1025</v>
      </c>
      <c r="F673" t="s">
        <v>1026</v>
      </c>
      <c r="G673" t="s">
        <v>1</v>
      </c>
      <c r="H673" t="s">
        <v>2</v>
      </c>
      <c r="I673" t="s">
        <v>1027</v>
      </c>
      <c r="J673" s="1">
        <v>46177</v>
      </c>
      <c r="K673" t="s">
        <v>1039</v>
      </c>
    </row>
    <row r="674" spans="1:11" x14ac:dyDescent="0.45">
      <c r="A674" t="s">
        <v>684</v>
      </c>
      <c r="B674" t="s">
        <v>1024</v>
      </c>
      <c r="C674">
        <v>21</v>
      </c>
      <c r="D674">
        <v>1</v>
      </c>
      <c r="E674" t="s">
        <v>1025</v>
      </c>
      <c r="F674" t="s">
        <v>1031</v>
      </c>
      <c r="G674" t="s">
        <v>1</v>
      </c>
      <c r="H674" t="s">
        <v>2</v>
      </c>
      <c r="I674" t="s">
        <v>1027</v>
      </c>
      <c r="J674" s="1">
        <v>46177</v>
      </c>
      <c r="K674" t="s">
        <v>1039</v>
      </c>
    </row>
    <row r="675" spans="1:11" x14ac:dyDescent="0.45">
      <c r="A675" t="s">
        <v>685</v>
      </c>
      <c r="B675" t="s">
        <v>1029</v>
      </c>
      <c r="C675">
        <v>54</v>
      </c>
      <c r="D675">
        <v>2</v>
      </c>
      <c r="E675" t="s">
        <v>1025</v>
      </c>
      <c r="F675" t="s">
        <v>1033</v>
      </c>
      <c r="G675" t="s">
        <v>1</v>
      </c>
      <c r="H675" t="s">
        <v>2</v>
      </c>
      <c r="I675" t="s">
        <v>1027</v>
      </c>
      <c r="J675" s="1">
        <v>46177</v>
      </c>
      <c r="K675" t="s">
        <v>1039</v>
      </c>
    </row>
    <row r="676" spans="1:11" x14ac:dyDescent="0.45">
      <c r="A676" t="s">
        <v>686</v>
      </c>
      <c r="B676" t="s">
        <v>1024</v>
      </c>
      <c r="C676">
        <v>14</v>
      </c>
      <c r="D676">
        <v>2</v>
      </c>
      <c r="E676" t="s">
        <v>1025</v>
      </c>
      <c r="F676" t="s">
        <v>1031</v>
      </c>
      <c r="G676" t="s">
        <v>1</v>
      </c>
      <c r="H676" t="s">
        <v>2</v>
      </c>
      <c r="I676" t="s">
        <v>1027</v>
      </c>
      <c r="J676" s="1">
        <v>46177</v>
      </c>
      <c r="K676" t="s">
        <v>1039</v>
      </c>
    </row>
    <row r="677" spans="1:11" x14ac:dyDescent="0.45">
      <c r="A677" t="s">
        <v>687</v>
      </c>
      <c r="B677" t="s">
        <v>1030</v>
      </c>
      <c r="C677">
        <v>35</v>
      </c>
      <c r="D677">
        <v>1</v>
      </c>
      <c r="E677" t="s">
        <v>1025</v>
      </c>
      <c r="F677" t="s">
        <v>1032</v>
      </c>
      <c r="G677" t="s">
        <v>1</v>
      </c>
      <c r="H677" t="s">
        <v>2</v>
      </c>
      <c r="I677" t="s">
        <v>1027</v>
      </c>
      <c r="J677" s="1">
        <v>46177</v>
      </c>
      <c r="K677" t="s">
        <v>1039</v>
      </c>
    </row>
    <row r="678" spans="1:11" x14ac:dyDescent="0.45">
      <c r="A678" t="s">
        <v>688</v>
      </c>
      <c r="B678" t="s">
        <v>1030</v>
      </c>
      <c r="C678">
        <v>42</v>
      </c>
      <c r="D678">
        <v>0</v>
      </c>
      <c r="E678" t="s">
        <v>1025</v>
      </c>
      <c r="F678" t="s">
        <v>1033</v>
      </c>
      <c r="G678" t="s">
        <v>1</v>
      </c>
      <c r="H678" t="s">
        <v>2</v>
      </c>
      <c r="I678" t="s">
        <v>1027</v>
      </c>
      <c r="J678" s="1">
        <v>46177</v>
      </c>
      <c r="K678" t="s">
        <v>1039</v>
      </c>
    </row>
    <row r="679" spans="1:11" x14ac:dyDescent="0.45">
      <c r="A679" t="s">
        <v>689</v>
      </c>
      <c r="B679" t="s">
        <v>1030</v>
      </c>
      <c r="C679">
        <v>36</v>
      </c>
      <c r="D679">
        <v>1</v>
      </c>
      <c r="E679" t="s">
        <v>1025</v>
      </c>
      <c r="F679" t="s">
        <v>1033</v>
      </c>
      <c r="G679" t="s">
        <v>1</v>
      </c>
      <c r="H679" t="s">
        <v>2</v>
      </c>
      <c r="I679" t="s">
        <v>1027</v>
      </c>
      <c r="J679" s="1">
        <v>46177</v>
      </c>
      <c r="K679" t="s">
        <v>1039</v>
      </c>
    </row>
    <row r="680" spans="1:11" x14ac:dyDescent="0.45">
      <c r="A680" t="s">
        <v>690</v>
      </c>
      <c r="B680" t="s">
        <v>1024</v>
      </c>
      <c r="C680">
        <v>25</v>
      </c>
      <c r="D680">
        <v>1</v>
      </c>
      <c r="E680" t="s">
        <v>1025</v>
      </c>
      <c r="F680" t="s">
        <v>1033</v>
      </c>
      <c r="G680" t="s">
        <v>1</v>
      </c>
      <c r="H680" t="s">
        <v>2</v>
      </c>
      <c r="I680" t="s">
        <v>1027</v>
      </c>
      <c r="J680" s="1">
        <v>46177</v>
      </c>
      <c r="K680" t="s">
        <v>1039</v>
      </c>
    </row>
    <row r="681" spans="1:11" x14ac:dyDescent="0.45">
      <c r="A681" t="s">
        <v>691</v>
      </c>
      <c r="B681" t="s">
        <v>1024</v>
      </c>
      <c r="C681">
        <v>16</v>
      </c>
      <c r="D681">
        <v>3</v>
      </c>
      <c r="E681" t="s">
        <v>1025</v>
      </c>
      <c r="F681" t="s">
        <v>1033</v>
      </c>
      <c r="G681" t="s">
        <v>1</v>
      </c>
      <c r="H681" t="s">
        <v>2</v>
      </c>
      <c r="I681" t="s">
        <v>1027</v>
      </c>
      <c r="J681" s="1">
        <v>46177</v>
      </c>
      <c r="K681" t="s">
        <v>1039</v>
      </c>
    </row>
    <row r="682" spans="1:11" x14ac:dyDescent="0.45">
      <c r="A682" t="s">
        <v>692</v>
      </c>
      <c r="B682" t="s">
        <v>1029</v>
      </c>
      <c r="C682">
        <v>60</v>
      </c>
      <c r="D682">
        <v>2</v>
      </c>
      <c r="E682" t="s">
        <v>1025</v>
      </c>
      <c r="F682" t="s">
        <v>1032</v>
      </c>
      <c r="G682" t="s">
        <v>1</v>
      </c>
      <c r="H682" t="s">
        <v>2</v>
      </c>
      <c r="I682" t="s">
        <v>1027</v>
      </c>
      <c r="J682" s="1">
        <v>46177</v>
      </c>
      <c r="K682" t="s">
        <v>1039</v>
      </c>
    </row>
    <row r="683" spans="1:11" x14ac:dyDescent="0.45">
      <c r="A683" t="s">
        <v>693</v>
      </c>
      <c r="B683" t="s">
        <v>1024</v>
      </c>
      <c r="C683">
        <v>18</v>
      </c>
      <c r="D683">
        <v>2</v>
      </c>
      <c r="E683" t="s">
        <v>1025</v>
      </c>
      <c r="F683" t="s">
        <v>1026</v>
      </c>
      <c r="G683" t="s">
        <v>1</v>
      </c>
      <c r="H683" t="s">
        <v>2</v>
      </c>
      <c r="I683" t="s">
        <v>1027</v>
      </c>
      <c r="J683" s="1">
        <v>46177</v>
      </c>
      <c r="K683" t="s">
        <v>1039</v>
      </c>
    </row>
    <row r="684" spans="1:11" x14ac:dyDescent="0.45">
      <c r="A684" t="s">
        <v>694</v>
      </c>
      <c r="B684" t="s">
        <v>1024</v>
      </c>
      <c r="C684">
        <v>12</v>
      </c>
      <c r="D684">
        <v>0</v>
      </c>
      <c r="E684" t="s">
        <v>1025</v>
      </c>
      <c r="F684" t="s">
        <v>1033</v>
      </c>
      <c r="G684" t="s">
        <v>1</v>
      </c>
      <c r="H684" t="s">
        <v>2</v>
      </c>
      <c r="I684" t="s">
        <v>1027</v>
      </c>
      <c r="J684" s="1">
        <v>46177</v>
      </c>
      <c r="K684" t="s">
        <v>1039</v>
      </c>
    </row>
    <row r="685" spans="1:11" x14ac:dyDescent="0.45">
      <c r="A685" t="s">
        <v>695</v>
      </c>
      <c r="B685" t="s">
        <v>1030</v>
      </c>
      <c r="C685">
        <v>36</v>
      </c>
      <c r="D685">
        <v>22</v>
      </c>
      <c r="E685" t="s">
        <v>1034</v>
      </c>
      <c r="F685" t="s">
        <v>1031</v>
      </c>
      <c r="G685" t="s">
        <v>1035</v>
      </c>
      <c r="H685" t="s">
        <v>3</v>
      </c>
      <c r="I685" t="s">
        <v>1027</v>
      </c>
      <c r="J685" s="1">
        <v>46177</v>
      </c>
      <c r="K685" t="s">
        <v>1039</v>
      </c>
    </row>
    <row r="686" spans="1:11" x14ac:dyDescent="0.45">
      <c r="A686" t="s">
        <v>696</v>
      </c>
      <c r="B686" t="s">
        <v>1030</v>
      </c>
      <c r="C686">
        <v>43</v>
      </c>
      <c r="D686">
        <v>2</v>
      </c>
      <c r="E686" t="s">
        <v>1025</v>
      </c>
      <c r="F686" t="s">
        <v>1026</v>
      </c>
      <c r="G686" t="s">
        <v>1</v>
      </c>
      <c r="H686" t="s">
        <v>2</v>
      </c>
      <c r="I686" t="s">
        <v>1027</v>
      </c>
      <c r="J686" s="1">
        <v>46177</v>
      </c>
      <c r="K686" t="s">
        <v>1039</v>
      </c>
    </row>
    <row r="687" spans="1:11" x14ac:dyDescent="0.45">
      <c r="A687" t="s">
        <v>697</v>
      </c>
      <c r="B687" t="s">
        <v>1029</v>
      </c>
      <c r="C687">
        <v>49</v>
      </c>
      <c r="D687">
        <v>3</v>
      </c>
      <c r="E687" t="s">
        <v>1025</v>
      </c>
      <c r="F687" t="s">
        <v>1032</v>
      </c>
      <c r="G687" t="s">
        <v>1</v>
      </c>
      <c r="H687" t="s">
        <v>2</v>
      </c>
      <c r="I687" t="s">
        <v>1027</v>
      </c>
      <c r="J687" s="1">
        <v>46177</v>
      </c>
      <c r="K687" t="s">
        <v>1039</v>
      </c>
    </row>
    <row r="688" spans="1:11" x14ac:dyDescent="0.45">
      <c r="A688" t="s">
        <v>698</v>
      </c>
      <c r="B688" t="s">
        <v>1024</v>
      </c>
      <c r="C688">
        <v>13</v>
      </c>
      <c r="D688">
        <v>5</v>
      </c>
      <c r="E688" t="s">
        <v>1025</v>
      </c>
      <c r="F688" t="s">
        <v>1026</v>
      </c>
      <c r="G688" t="s">
        <v>1</v>
      </c>
      <c r="H688" t="s">
        <v>2</v>
      </c>
      <c r="I688" t="s">
        <v>1027</v>
      </c>
      <c r="J688" s="1">
        <v>46177</v>
      </c>
      <c r="K688" t="s">
        <v>1039</v>
      </c>
    </row>
    <row r="689" spans="1:11" x14ac:dyDescent="0.45">
      <c r="A689" t="s">
        <v>699</v>
      </c>
      <c r="B689" t="s">
        <v>1029</v>
      </c>
      <c r="C689">
        <v>50</v>
      </c>
      <c r="D689">
        <v>1</v>
      </c>
      <c r="E689" t="s">
        <v>1025</v>
      </c>
      <c r="F689" t="s">
        <v>1026</v>
      </c>
      <c r="G689" t="s">
        <v>1</v>
      </c>
      <c r="H689" t="s">
        <v>2</v>
      </c>
      <c r="I689" t="s">
        <v>1027</v>
      </c>
      <c r="J689" s="1">
        <v>46177</v>
      </c>
      <c r="K689" t="s">
        <v>1039</v>
      </c>
    </row>
    <row r="690" spans="1:11" x14ac:dyDescent="0.45">
      <c r="A690" t="s">
        <v>700</v>
      </c>
      <c r="B690" t="s">
        <v>1029</v>
      </c>
      <c r="C690">
        <v>46</v>
      </c>
      <c r="D690">
        <v>3</v>
      </c>
      <c r="E690" t="s">
        <v>1025</v>
      </c>
      <c r="F690" t="s">
        <v>1026</v>
      </c>
      <c r="G690" t="s">
        <v>1</v>
      </c>
      <c r="H690" t="s">
        <v>2</v>
      </c>
      <c r="I690" t="s">
        <v>1027</v>
      </c>
      <c r="J690" s="1">
        <v>46177</v>
      </c>
      <c r="K690" t="s">
        <v>1039</v>
      </c>
    </row>
    <row r="691" spans="1:11" x14ac:dyDescent="0.45">
      <c r="A691" t="s">
        <v>701</v>
      </c>
      <c r="B691" t="s">
        <v>1024</v>
      </c>
      <c r="C691">
        <v>17</v>
      </c>
      <c r="D691">
        <v>2</v>
      </c>
      <c r="E691" t="s">
        <v>1025</v>
      </c>
      <c r="F691" t="s">
        <v>1026</v>
      </c>
      <c r="G691" t="s">
        <v>1</v>
      </c>
      <c r="H691" t="s">
        <v>2</v>
      </c>
      <c r="I691" t="s">
        <v>1027</v>
      </c>
      <c r="J691" s="1">
        <v>46177</v>
      </c>
      <c r="K691" t="s">
        <v>1039</v>
      </c>
    </row>
    <row r="692" spans="1:11" x14ac:dyDescent="0.45">
      <c r="A692" t="s">
        <v>702</v>
      </c>
      <c r="B692" t="s">
        <v>1024</v>
      </c>
      <c r="C692">
        <v>16</v>
      </c>
      <c r="D692">
        <v>3</v>
      </c>
      <c r="E692" t="s">
        <v>1025</v>
      </c>
      <c r="F692" t="s">
        <v>1031</v>
      </c>
      <c r="G692" t="s">
        <v>1</v>
      </c>
      <c r="H692" t="s">
        <v>2</v>
      </c>
      <c r="I692" t="s">
        <v>1027</v>
      </c>
      <c r="J692" s="1">
        <v>46177</v>
      </c>
      <c r="K692" t="s">
        <v>1039</v>
      </c>
    </row>
    <row r="693" spans="1:11" x14ac:dyDescent="0.45">
      <c r="A693" t="s">
        <v>703</v>
      </c>
      <c r="B693" t="s">
        <v>1029</v>
      </c>
      <c r="C693">
        <v>63</v>
      </c>
      <c r="D693">
        <v>0</v>
      </c>
      <c r="E693" t="s">
        <v>1025</v>
      </c>
      <c r="F693" t="s">
        <v>1026</v>
      </c>
      <c r="G693" t="s">
        <v>1</v>
      </c>
      <c r="H693" t="s">
        <v>2</v>
      </c>
      <c r="I693" t="s">
        <v>1027</v>
      </c>
      <c r="J693" s="1">
        <v>46177</v>
      </c>
      <c r="K693" t="s">
        <v>1039</v>
      </c>
    </row>
    <row r="694" spans="1:11" x14ac:dyDescent="0.45">
      <c r="A694" t="s">
        <v>704</v>
      </c>
      <c r="B694" t="s">
        <v>1029</v>
      </c>
      <c r="C694">
        <v>56</v>
      </c>
      <c r="D694">
        <v>5</v>
      </c>
      <c r="E694" t="s">
        <v>1025</v>
      </c>
      <c r="F694" t="s">
        <v>1032</v>
      </c>
      <c r="G694" t="s">
        <v>1</v>
      </c>
      <c r="H694" t="s">
        <v>2</v>
      </c>
      <c r="I694" t="s">
        <v>1027</v>
      </c>
      <c r="J694" s="1">
        <v>46177</v>
      </c>
      <c r="K694" t="s">
        <v>1039</v>
      </c>
    </row>
    <row r="695" spans="1:11" x14ac:dyDescent="0.45">
      <c r="A695" t="s">
        <v>705</v>
      </c>
      <c r="B695" t="s">
        <v>1029</v>
      </c>
      <c r="C695">
        <v>46</v>
      </c>
      <c r="D695">
        <v>2</v>
      </c>
      <c r="E695" t="s">
        <v>1025</v>
      </c>
      <c r="F695" t="s">
        <v>1031</v>
      </c>
      <c r="G695" t="s">
        <v>1</v>
      </c>
      <c r="H695" t="s">
        <v>2</v>
      </c>
      <c r="I695" t="s">
        <v>1027</v>
      </c>
      <c r="J695" s="1">
        <v>46177</v>
      </c>
      <c r="K695" t="s">
        <v>1039</v>
      </c>
    </row>
    <row r="696" spans="1:11" x14ac:dyDescent="0.45">
      <c r="A696" t="s">
        <v>706</v>
      </c>
      <c r="B696" t="s">
        <v>1024</v>
      </c>
      <c r="C696">
        <v>21</v>
      </c>
      <c r="D696">
        <v>3</v>
      </c>
      <c r="E696" t="s">
        <v>1025</v>
      </c>
      <c r="F696" t="s">
        <v>1031</v>
      </c>
      <c r="G696" t="s">
        <v>1</v>
      </c>
      <c r="H696" t="s">
        <v>2</v>
      </c>
      <c r="I696" t="s">
        <v>1027</v>
      </c>
      <c r="J696" s="1">
        <v>46177</v>
      </c>
      <c r="K696" t="s">
        <v>1039</v>
      </c>
    </row>
    <row r="697" spans="1:11" x14ac:dyDescent="0.45">
      <c r="A697" t="s">
        <v>707</v>
      </c>
      <c r="B697" t="s">
        <v>1024</v>
      </c>
      <c r="C697">
        <v>20</v>
      </c>
      <c r="D697">
        <v>2</v>
      </c>
      <c r="E697" t="s">
        <v>1025</v>
      </c>
      <c r="F697" t="s">
        <v>1026</v>
      </c>
      <c r="G697" t="s">
        <v>1</v>
      </c>
      <c r="H697" t="s">
        <v>2</v>
      </c>
      <c r="I697" t="s">
        <v>1027</v>
      </c>
      <c r="J697" s="1">
        <v>46177</v>
      </c>
      <c r="K697" t="s">
        <v>1039</v>
      </c>
    </row>
    <row r="698" spans="1:11" x14ac:dyDescent="0.45">
      <c r="A698" t="s">
        <v>708</v>
      </c>
      <c r="B698" t="s">
        <v>1024</v>
      </c>
      <c r="C698">
        <v>13</v>
      </c>
      <c r="D698">
        <v>0</v>
      </c>
      <c r="E698" t="s">
        <v>1025</v>
      </c>
      <c r="F698" t="s">
        <v>1032</v>
      </c>
      <c r="G698" t="s">
        <v>1</v>
      </c>
      <c r="H698" t="s">
        <v>2</v>
      </c>
      <c r="I698" t="s">
        <v>1027</v>
      </c>
      <c r="J698" s="1">
        <v>46177</v>
      </c>
      <c r="K698" t="s">
        <v>1039</v>
      </c>
    </row>
    <row r="699" spans="1:11" x14ac:dyDescent="0.45">
      <c r="A699" t="s">
        <v>709</v>
      </c>
      <c r="B699" t="s">
        <v>1030</v>
      </c>
      <c r="C699">
        <v>48</v>
      </c>
      <c r="D699">
        <v>1</v>
      </c>
      <c r="E699" t="s">
        <v>1025</v>
      </c>
      <c r="F699" t="s">
        <v>1032</v>
      </c>
      <c r="G699" t="s">
        <v>1</v>
      </c>
      <c r="H699" t="s">
        <v>2</v>
      </c>
      <c r="I699" t="s">
        <v>1027</v>
      </c>
      <c r="J699" s="1">
        <v>46177</v>
      </c>
      <c r="K699" t="s">
        <v>1039</v>
      </c>
    </row>
    <row r="700" spans="1:11" x14ac:dyDescent="0.45">
      <c r="A700" t="s">
        <v>710</v>
      </c>
      <c r="B700" t="s">
        <v>1029</v>
      </c>
      <c r="C700">
        <v>53</v>
      </c>
      <c r="D700">
        <v>3</v>
      </c>
      <c r="E700" t="s">
        <v>1025</v>
      </c>
      <c r="F700" t="s">
        <v>1033</v>
      </c>
      <c r="G700" t="s">
        <v>1</v>
      </c>
      <c r="H700" t="s">
        <v>2</v>
      </c>
      <c r="I700" t="s">
        <v>1027</v>
      </c>
      <c r="J700" s="1">
        <v>46177</v>
      </c>
      <c r="K700" t="s">
        <v>1039</v>
      </c>
    </row>
    <row r="701" spans="1:11" x14ac:dyDescent="0.45">
      <c r="A701" t="s">
        <v>711</v>
      </c>
      <c r="B701" t="s">
        <v>1030</v>
      </c>
      <c r="C701">
        <v>30</v>
      </c>
      <c r="D701">
        <v>1</v>
      </c>
      <c r="E701" t="s">
        <v>1025</v>
      </c>
      <c r="F701" t="s">
        <v>1026</v>
      </c>
      <c r="G701" t="s">
        <v>1</v>
      </c>
      <c r="H701" t="s">
        <v>2</v>
      </c>
      <c r="I701" t="s">
        <v>1027</v>
      </c>
      <c r="J701" s="1">
        <v>46177</v>
      </c>
      <c r="K701" t="s">
        <v>1039</v>
      </c>
    </row>
    <row r="702" spans="1:11" x14ac:dyDescent="0.45">
      <c r="A702" t="s">
        <v>712</v>
      </c>
      <c r="B702" t="s">
        <v>1029</v>
      </c>
      <c r="C702">
        <v>45</v>
      </c>
      <c r="D702">
        <v>2</v>
      </c>
      <c r="E702" t="s">
        <v>1025</v>
      </c>
      <c r="F702" t="s">
        <v>1033</v>
      </c>
      <c r="G702" t="s">
        <v>1</v>
      </c>
      <c r="H702" t="s">
        <v>2</v>
      </c>
      <c r="I702" t="s">
        <v>1027</v>
      </c>
      <c r="J702" s="1">
        <v>46177</v>
      </c>
      <c r="K702" t="s">
        <v>1039</v>
      </c>
    </row>
    <row r="703" spans="1:11" x14ac:dyDescent="0.45">
      <c r="A703" t="s">
        <v>713</v>
      </c>
      <c r="B703" t="s">
        <v>1030</v>
      </c>
      <c r="C703">
        <v>41</v>
      </c>
      <c r="D703">
        <v>1</v>
      </c>
      <c r="E703" t="s">
        <v>1025</v>
      </c>
      <c r="F703" t="s">
        <v>1033</v>
      </c>
      <c r="G703" t="s">
        <v>1</v>
      </c>
      <c r="H703" t="s">
        <v>2</v>
      </c>
      <c r="I703" t="s">
        <v>1027</v>
      </c>
      <c r="J703" s="1">
        <v>46177</v>
      </c>
      <c r="K703" t="s">
        <v>1039</v>
      </c>
    </row>
    <row r="704" spans="1:11" x14ac:dyDescent="0.45">
      <c r="A704" t="s">
        <v>714</v>
      </c>
      <c r="B704" t="s">
        <v>1029</v>
      </c>
      <c r="C704">
        <v>47</v>
      </c>
      <c r="D704">
        <v>1</v>
      </c>
      <c r="E704" t="s">
        <v>1025</v>
      </c>
      <c r="F704" t="s">
        <v>1031</v>
      </c>
      <c r="G704" t="s">
        <v>1</v>
      </c>
      <c r="H704" t="s">
        <v>2</v>
      </c>
      <c r="I704" t="s">
        <v>1027</v>
      </c>
      <c r="J704" s="1">
        <v>46177</v>
      </c>
      <c r="K704" t="s">
        <v>1039</v>
      </c>
    </row>
    <row r="705" spans="1:11" x14ac:dyDescent="0.45">
      <c r="A705" t="s">
        <v>715</v>
      </c>
      <c r="B705" t="s">
        <v>1030</v>
      </c>
      <c r="C705">
        <v>48</v>
      </c>
      <c r="D705">
        <v>0</v>
      </c>
      <c r="E705" t="s">
        <v>1025</v>
      </c>
      <c r="F705" t="s">
        <v>1026</v>
      </c>
      <c r="G705" t="s">
        <v>1</v>
      </c>
      <c r="H705" t="s">
        <v>2</v>
      </c>
      <c r="I705" t="s">
        <v>1027</v>
      </c>
      <c r="J705" s="1">
        <v>46177</v>
      </c>
      <c r="K705" t="s">
        <v>1039</v>
      </c>
    </row>
    <row r="706" spans="1:11" x14ac:dyDescent="0.45">
      <c r="A706" t="s">
        <v>716</v>
      </c>
      <c r="B706" t="s">
        <v>1024</v>
      </c>
      <c r="C706">
        <v>20</v>
      </c>
      <c r="D706">
        <v>20</v>
      </c>
      <c r="E706" t="s">
        <v>1034</v>
      </c>
      <c r="F706" t="s">
        <v>1032</v>
      </c>
      <c r="G706" t="s">
        <v>1035</v>
      </c>
      <c r="H706" t="s">
        <v>3</v>
      </c>
      <c r="I706" t="s">
        <v>1027</v>
      </c>
      <c r="J706" s="1">
        <v>46177</v>
      </c>
      <c r="K706" t="s">
        <v>1039</v>
      </c>
    </row>
    <row r="707" spans="1:11" x14ac:dyDescent="0.45">
      <c r="A707" t="s">
        <v>717</v>
      </c>
      <c r="B707" t="s">
        <v>1024</v>
      </c>
      <c r="C707">
        <v>21</v>
      </c>
      <c r="D707">
        <v>1</v>
      </c>
      <c r="E707" t="s">
        <v>1025</v>
      </c>
      <c r="F707" t="s">
        <v>1026</v>
      </c>
      <c r="G707" t="s">
        <v>1</v>
      </c>
      <c r="H707" t="s">
        <v>2</v>
      </c>
      <c r="I707" t="s">
        <v>1027</v>
      </c>
      <c r="J707" s="1">
        <v>46177</v>
      </c>
      <c r="K707" t="s">
        <v>1039</v>
      </c>
    </row>
    <row r="708" spans="1:11" x14ac:dyDescent="0.45">
      <c r="A708" t="s">
        <v>718</v>
      </c>
      <c r="B708" t="s">
        <v>1030</v>
      </c>
      <c r="C708">
        <v>32</v>
      </c>
      <c r="D708">
        <v>0</v>
      </c>
      <c r="E708" t="s">
        <v>1025</v>
      </c>
      <c r="F708" t="s">
        <v>1026</v>
      </c>
      <c r="G708" t="s">
        <v>1</v>
      </c>
      <c r="H708" t="s">
        <v>2</v>
      </c>
      <c r="I708" t="s">
        <v>1027</v>
      </c>
      <c r="J708" s="1">
        <v>46177</v>
      </c>
      <c r="K708" t="s">
        <v>1039</v>
      </c>
    </row>
    <row r="709" spans="1:11" x14ac:dyDescent="0.45">
      <c r="A709" t="s">
        <v>719</v>
      </c>
      <c r="B709" t="s">
        <v>1030</v>
      </c>
      <c r="C709">
        <v>42</v>
      </c>
      <c r="D709">
        <v>25</v>
      </c>
      <c r="E709" t="s">
        <v>1034</v>
      </c>
      <c r="F709" t="s">
        <v>1033</v>
      </c>
      <c r="G709" t="s">
        <v>1035</v>
      </c>
      <c r="H709" t="s">
        <v>3</v>
      </c>
      <c r="I709" t="s">
        <v>1027</v>
      </c>
      <c r="J709" s="1">
        <v>46177</v>
      </c>
      <c r="K709" t="s">
        <v>1039</v>
      </c>
    </row>
    <row r="710" spans="1:11" x14ac:dyDescent="0.45">
      <c r="A710" t="s">
        <v>720</v>
      </c>
      <c r="B710" t="s">
        <v>1030</v>
      </c>
      <c r="C710">
        <v>48</v>
      </c>
      <c r="D710">
        <v>5</v>
      </c>
      <c r="E710" t="s">
        <v>1025</v>
      </c>
      <c r="F710" t="s">
        <v>1026</v>
      </c>
      <c r="G710" t="s">
        <v>1</v>
      </c>
      <c r="H710" t="s">
        <v>2</v>
      </c>
      <c r="I710" t="s">
        <v>1027</v>
      </c>
      <c r="J710" s="1">
        <v>46177</v>
      </c>
      <c r="K710" t="s">
        <v>1039</v>
      </c>
    </row>
    <row r="711" spans="1:11" x14ac:dyDescent="0.45">
      <c r="A711" t="s">
        <v>721</v>
      </c>
      <c r="B711" t="s">
        <v>1030</v>
      </c>
      <c r="C711">
        <v>38</v>
      </c>
      <c r="D711">
        <v>0</v>
      </c>
      <c r="E711" t="s">
        <v>1025</v>
      </c>
      <c r="F711" t="s">
        <v>1026</v>
      </c>
      <c r="G711" t="s">
        <v>1</v>
      </c>
      <c r="H711" t="s">
        <v>2</v>
      </c>
      <c r="I711" t="s">
        <v>1027</v>
      </c>
      <c r="J711" s="1">
        <v>46177</v>
      </c>
      <c r="K711" t="s">
        <v>1039</v>
      </c>
    </row>
    <row r="712" spans="1:11" x14ac:dyDescent="0.45">
      <c r="A712" t="s">
        <v>722</v>
      </c>
      <c r="B712" t="s">
        <v>1030</v>
      </c>
      <c r="C712">
        <v>35</v>
      </c>
      <c r="D712">
        <v>3</v>
      </c>
      <c r="E712" t="s">
        <v>1025</v>
      </c>
      <c r="F712" t="s">
        <v>1031</v>
      </c>
      <c r="G712" t="s">
        <v>1</v>
      </c>
      <c r="H712" t="s">
        <v>2</v>
      </c>
      <c r="I712" t="s">
        <v>1027</v>
      </c>
      <c r="J712" s="1">
        <v>46177</v>
      </c>
      <c r="K712" t="s">
        <v>1039</v>
      </c>
    </row>
    <row r="713" spans="1:11" x14ac:dyDescent="0.45">
      <c r="A713" t="s">
        <v>723</v>
      </c>
      <c r="B713" t="s">
        <v>1029</v>
      </c>
      <c r="C713">
        <v>64</v>
      </c>
      <c r="D713">
        <v>5</v>
      </c>
      <c r="E713" t="s">
        <v>1025</v>
      </c>
      <c r="F713" t="s">
        <v>1032</v>
      </c>
      <c r="G713" t="s">
        <v>1</v>
      </c>
      <c r="H713" t="s">
        <v>2</v>
      </c>
      <c r="I713" t="s">
        <v>1027</v>
      </c>
      <c r="J713" s="1">
        <v>46177</v>
      </c>
      <c r="K713" t="s">
        <v>1039</v>
      </c>
    </row>
    <row r="714" spans="1:11" x14ac:dyDescent="0.45">
      <c r="A714" t="s">
        <v>724</v>
      </c>
      <c r="B714" t="s">
        <v>1029</v>
      </c>
      <c r="C714">
        <v>55</v>
      </c>
      <c r="D714">
        <v>0</v>
      </c>
      <c r="E714" t="s">
        <v>1025</v>
      </c>
      <c r="F714" t="s">
        <v>1032</v>
      </c>
      <c r="G714" t="s">
        <v>1</v>
      </c>
      <c r="H714" t="s">
        <v>2</v>
      </c>
      <c r="I714" t="s">
        <v>1027</v>
      </c>
      <c r="J714" s="1">
        <v>46177</v>
      </c>
      <c r="K714" t="s">
        <v>1039</v>
      </c>
    </row>
    <row r="715" spans="1:11" x14ac:dyDescent="0.45">
      <c r="A715" t="s">
        <v>725</v>
      </c>
      <c r="B715" t="s">
        <v>1029</v>
      </c>
      <c r="C715">
        <v>62</v>
      </c>
      <c r="D715">
        <v>35</v>
      </c>
      <c r="E715" t="s">
        <v>1034</v>
      </c>
      <c r="F715" t="s">
        <v>1026</v>
      </c>
      <c r="G715" t="s">
        <v>1035</v>
      </c>
      <c r="H715" t="s">
        <v>3</v>
      </c>
      <c r="I715" t="s">
        <v>1027</v>
      </c>
      <c r="J715" s="1">
        <v>46177</v>
      </c>
      <c r="K715" t="s">
        <v>1039</v>
      </c>
    </row>
    <row r="716" spans="1:11" x14ac:dyDescent="0.45">
      <c r="A716" t="s">
        <v>726</v>
      </c>
      <c r="B716" t="s">
        <v>1024</v>
      </c>
      <c r="C716">
        <v>22</v>
      </c>
      <c r="D716">
        <v>1</v>
      </c>
      <c r="E716" t="s">
        <v>1025</v>
      </c>
      <c r="F716" t="s">
        <v>1032</v>
      </c>
      <c r="G716" t="s">
        <v>1</v>
      </c>
      <c r="H716" t="s">
        <v>2</v>
      </c>
      <c r="I716" t="s">
        <v>1027</v>
      </c>
      <c r="J716" s="1">
        <v>46177</v>
      </c>
      <c r="K716" t="s">
        <v>1039</v>
      </c>
    </row>
    <row r="717" spans="1:11" x14ac:dyDescent="0.45">
      <c r="A717" t="s">
        <v>727</v>
      </c>
      <c r="B717" t="s">
        <v>1030</v>
      </c>
      <c r="C717">
        <v>48</v>
      </c>
      <c r="D717">
        <v>0</v>
      </c>
      <c r="E717" t="s">
        <v>1025</v>
      </c>
      <c r="F717" t="s">
        <v>1031</v>
      </c>
      <c r="G717" t="s">
        <v>1</v>
      </c>
      <c r="H717" t="s">
        <v>2</v>
      </c>
      <c r="I717" t="s">
        <v>1027</v>
      </c>
      <c r="J717" s="1">
        <v>46177</v>
      </c>
      <c r="K717" t="s">
        <v>1039</v>
      </c>
    </row>
    <row r="718" spans="1:11" x14ac:dyDescent="0.45">
      <c r="A718" t="s">
        <v>728</v>
      </c>
      <c r="B718" t="s">
        <v>1029</v>
      </c>
      <c r="C718">
        <v>59</v>
      </c>
      <c r="D718">
        <v>5</v>
      </c>
      <c r="E718" t="s">
        <v>1025</v>
      </c>
      <c r="F718" t="s">
        <v>1026</v>
      </c>
      <c r="G718" t="s">
        <v>1</v>
      </c>
      <c r="H718" t="s">
        <v>2</v>
      </c>
      <c r="I718" t="s">
        <v>1027</v>
      </c>
      <c r="J718" s="1">
        <v>46177</v>
      </c>
      <c r="K718" t="s">
        <v>1039</v>
      </c>
    </row>
    <row r="719" spans="1:11" x14ac:dyDescent="0.45">
      <c r="A719" t="s">
        <v>729</v>
      </c>
      <c r="B719" t="s">
        <v>1029</v>
      </c>
      <c r="C719">
        <v>56</v>
      </c>
      <c r="D719">
        <v>3</v>
      </c>
      <c r="E719" t="s">
        <v>1025</v>
      </c>
      <c r="F719" t="s">
        <v>1026</v>
      </c>
      <c r="G719" t="s">
        <v>1</v>
      </c>
      <c r="H719" t="s">
        <v>2</v>
      </c>
      <c r="I719" t="s">
        <v>1027</v>
      </c>
      <c r="J719" s="1">
        <v>46177</v>
      </c>
      <c r="K719" t="s">
        <v>1039</v>
      </c>
    </row>
    <row r="720" spans="1:11" x14ac:dyDescent="0.45">
      <c r="A720" t="s">
        <v>730</v>
      </c>
      <c r="B720" t="s">
        <v>1030</v>
      </c>
      <c r="C720">
        <v>41</v>
      </c>
      <c r="D720">
        <v>2</v>
      </c>
      <c r="E720" t="s">
        <v>1025</v>
      </c>
      <c r="F720" t="s">
        <v>1026</v>
      </c>
      <c r="G720" t="s">
        <v>1</v>
      </c>
      <c r="H720" t="s">
        <v>2</v>
      </c>
      <c r="I720" t="s">
        <v>1027</v>
      </c>
      <c r="J720" s="1">
        <v>46177</v>
      </c>
      <c r="K720" t="s">
        <v>1039</v>
      </c>
    </row>
    <row r="721" spans="1:11" x14ac:dyDescent="0.45">
      <c r="A721" t="s">
        <v>731</v>
      </c>
      <c r="B721" t="s">
        <v>1030</v>
      </c>
      <c r="C721">
        <v>41</v>
      </c>
      <c r="D721">
        <v>0</v>
      </c>
      <c r="E721" t="s">
        <v>1025</v>
      </c>
      <c r="F721" t="s">
        <v>1032</v>
      </c>
      <c r="G721" t="s">
        <v>1</v>
      </c>
      <c r="H721" t="s">
        <v>2</v>
      </c>
      <c r="I721" t="s">
        <v>1027</v>
      </c>
      <c r="J721" s="1">
        <v>46177</v>
      </c>
      <c r="K721" t="s">
        <v>1039</v>
      </c>
    </row>
    <row r="722" spans="1:11" x14ac:dyDescent="0.45">
      <c r="A722" t="s">
        <v>732</v>
      </c>
      <c r="B722" t="s">
        <v>1024</v>
      </c>
      <c r="C722">
        <v>24</v>
      </c>
      <c r="D722">
        <v>1</v>
      </c>
      <c r="E722" t="s">
        <v>1025</v>
      </c>
      <c r="F722" t="s">
        <v>1032</v>
      </c>
      <c r="G722" t="s">
        <v>1</v>
      </c>
      <c r="H722" t="s">
        <v>2</v>
      </c>
      <c r="I722" t="s">
        <v>1027</v>
      </c>
      <c r="J722" s="1">
        <v>46177</v>
      </c>
      <c r="K722" t="s">
        <v>1039</v>
      </c>
    </row>
    <row r="723" spans="1:11" x14ac:dyDescent="0.45">
      <c r="A723" t="s">
        <v>733</v>
      </c>
      <c r="B723" t="s">
        <v>1029</v>
      </c>
      <c r="C723">
        <v>50</v>
      </c>
      <c r="D723">
        <v>1</v>
      </c>
      <c r="E723" t="s">
        <v>1025</v>
      </c>
      <c r="F723" t="s">
        <v>1026</v>
      </c>
      <c r="G723" t="s">
        <v>1</v>
      </c>
      <c r="H723" t="s">
        <v>2</v>
      </c>
      <c r="I723" t="s">
        <v>1027</v>
      </c>
      <c r="J723" s="1">
        <v>46177</v>
      </c>
      <c r="K723" t="s">
        <v>1039</v>
      </c>
    </row>
    <row r="724" spans="1:11" x14ac:dyDescent="0.45">
      <c r="A724" t="s">
        <v>734</v>
      </c>
      <c r="B724" t="s">
        <v>1024</v>
      </c>
      <c r="C724">
        <v>16</v>
      </c>
      <c r="D724">
        <v>0</v>
      </c>
      <c r="E724" t="s">
        <v>1025</v>
      </c>
      <c r="F724" t="s">
        <v>1031</v>
      </c>
      <c r="G724" t="s">
        <v>1</v>
      </c>
      <c r="H724" t="s">
        <v>2</v>
      </c>
      <c r="I724" t="s">
        <v>1027</v>
      </c>
      <c r="J724" s="1">
        <v>46177</v>
      </c>
      <c r="K724" t="s">
        <v>1039</v>
      </c>
    </row>
    <row r="725" spans="1:11" x14ac:dyDescent="0.45">
      <c r="A725" t="s">
        <v>735</v>
      </c>
      <c r="B725" t="s">
        <v>1030</v>
      </c>
      <c r="C725">
        <v>33</v>
      </c>
      <c r="D725">
        <v>2</v>
      </c>
      <c r="E725" t="s">
        <v>1025</v>
      </c>
      <c r="F725" t="s">
        <v>1032</v>
      </c>
      <c r="G725" t="s">
        <v>1</v>
      </c>
      <c r="H725" t="s">
        <v>2</v>
      </c>
      <c r="I725" t="s">
        <v>1027</v>
      </c>
      <c r="J725" s="1">
        <v>46177</v>
      </c>
      <c r="K725" t="s">
        <v>1039</v>
      </c>
    </row>
    <row r="726" spans="1:11" x14ac:dyDescent="0.45">
      <c r="A726" t="s">
        <v>736</v>
      </c>
      <c r="B726" t="s">
        <v>1029</v>
      </c>
      <c r="C726">
        <v>64</v>
      </c>
      <c r="D726">
        <v>1</v>
      </c>
      <c r="E726" t="s">
        <v>1025</v>
      </c>
      <c r="F726" t="s">
        <v>1033</v>
      </c>
      <c r="G726" t="s">
        <v>1</v>
      </c>
      <c r="H726" t="s">
        <v>2</v>
      </c>
      <c r="I726" t="s">
        <v>1027</v>
      </c>
      <c r="J726" s="1">
        <v>46177</v>
      </c>
      <c r="K726" t="s">
        <v>1039</v>
      </c>
    </row>
    <row r="727" spans="1:11" x14ac:dyDescent="0.45">
      <c r="A727" t="s">
        <v>737</v>
      </c>
      <c r="B727" t="s">
        <v>1029</v>
      </c>
      <c r="C727">
        <v>56</v>
      </c>
      <c r="D727">
        <v>1</v>
      </c>
      <c r="E727" t="s">
        <v>1025</v>
      </c>
      <c r="F727" t="s">
        <v>1031</v>
      </c>
      <c r="G727" t="s">
        <v>1</v>
      </c>
      <c r="H727" t="s">
        <v>2</v>
      </c>
      <c r="I727" t="s">
        <v>1027</v>
      </c>
      <c r="J727" s="1">
        <v>46177</v>
      </c>
      <c r="K727" t="s">
        <v>1039</v>
      </c>
    </row>
    <row r="728" spans="1:11" x14ac:dyDescent="0.45">
      <c r="A728" t="s">
        <v>738</v>
      </c>
      <c r="B728" t="s">
        <v>1024</v>
      </c>
      <c r="C728">
        <v>14</v>
      </c>
      <c r="D728">
        <v>4</v>
      </c>
      <c r="E728" t="s">
        <v>1025</v>
      </c>
      <c r="F728" t="s">
        <v>1032</v>
      </c>
      <c r="G728" t="s">
        <v>1</v>
      </c>
      <c r="H728" t="s">
        <v>2</v>
      </c>
      <c r="I728" t="s">
        <v>1027</v>
      </c>
      <c r="J728" s="1">
        <v>46177</v>
      </c>
      <c r="K728" t="s">
        <v>1039</v>
      </c>
    </row>
    <row r="729" spans="1:11" x14ac:dyDescent="0.45">
      <c r="A729" t="s">
        <v>739</v>
      </c>
      <c r="B729" t="s">
        <v>1029</v>
      </c>
      <c r="C729">
        <v>58</v>
      </c>
      <c r="D729">
        <v>1</v>
      </c>
      <c r="E729" t="s">
        <v>1025</v>
      </c>
      <c r="F729" t="s">
        <v>1032</v>
      </c>
      <c r="G729" t="s">
        <v>1</v>
      </c>
      <c r="H729" t="s">
        <v>2</v>
      </c>
      <c r="I729" t="s">
        <v>1027</v>
      </c>
      <c r="J729" s="1">
        <v>46177</v>
      </c>
      <c r="K729" t="s">
        <v>1039</v>
      </c>
    </row>
    <row r="730" spans="1:11" x14ac:dyDescent="0.45">
      <c r="A730" t="s">
        <v>740</v>
      </c>
      <c r="B730" t="s">
        <v>1024</v>
      </c>
      <c r="C730">
        <v>24</v>
      </c>
      <c r="D730">
        <v>3</v>
      </c>
      <c r="E730" t="s">
        <v>1025</v>
      </c>
      <c r="F730" t="s">
        <v>1026</v>
      </c>
      <c r="G730" t="s">
        <v>1</v>
      </c>
      <c r="H730" t="s">
        <v>2</v>
      </c>
      <c r="I730" t="s">
        <v>1027</v>
      </c>
      <c r="J730" s="1">
        <v>46177</v>
      </c>
      <c r="K730" t="s">
        <v>1039</v>
      </c>
    </row>
    <row r="731" spans="1:11" x14ac:dyDescent="0.45">
      <c r="A731" t="s">
        <v>741</v>
      </c>
      <c r="B731" t="s">
        <v>1024</v>
      </c>
      <c r="C731">
        <v>24</v>
      </c>
      <c r="D731">
        <v>0</v>
      </c>
      <c r="E731" t="s">
        <v>1025</v>
      </c>
      <c r="F731" t="s">
        <v>1031</v>
      </c>
      <c r="G731" t="s">
        <v>1</v>
      </c>
      <c r="H731" t="s">
        <v>2</v>
      </c>
      <c r="I731" t="s">
        <v>1027</v>
      </c>
      <c r="J731" s="1">
        <v>46177</v>
      </c>
      <c r="K731" t="s">
        <v>1039</v>
      </c>
    </row>
    <row r="732" spans="1:11" x14ac:dyDescent="0.45">
      <c r="A732" t="s">
        <v>742</v>
      </c>
      <c r="B732" t="s">
        <v>1029</v>
      </c>
      <c r="C732">
        <v>49</v>
      </c>
      <c r="D732">
        <v>3</v>
      </c>
      <c r="E732" t="s">
        <v>1025</v>
      </c>
      <c r="F732" t="s">
        <v>1031</v>
      </c>
      <c r="G732" t="s">
        <v>1</v>
      </c>
      <c r="H732" t="s">
        <v>2</v>
      </c>
      <c r="I732" t="s">
        <v>1027</v>
      </c>
      <c r="J732" s="1">
        <v>46177</v>
      </c>
      <c r="K732" t="s">
        <v>1039</v>
      </c>
    </row>
    <row r="733" spans="1:11" x14ac:dyDescent="0.45">
      <c r="A733" t="s">
        <v>743</v>
      </c>
      <c r="B733" t="s">
        <v>1030</v>
      </c>
      <c r="C733">
        <v>40</v>
      </c>
      <c r="D733">
        <v>1</v>
      </c>
      <c r="E733" t="s">
        <v>1025</v>
      </c>
      <c r="F733" t="s">
        <v>1026</v>
      </c>
      <c r="G733" t="s">
        <v>1</v>
      </c>
      <c r="H733" t="s">
        <v>2</v>
      </c>
      <c r="I733" t="s">
        <v>1027</v>
      </c>
      <c r="J733" s="1">
        <v>46177</v>
      </c>
      <c r="K733" t="s">
        <v>1039</v>
      </c>
    </row>
    <row r="734" spans="1:11" x14ac:dyDescent="0.45">
      <c r="A734" t="s">
        <v>744</v>
      </c>
      <c r="B734" t="s">
        <v>1024</v>
      </c>
      <c r="C734">
        <v>18</v>
      </c>
      <c r="D734">
        <v>1</v>
      </c>
      <c r="E734" t="s">
        <v>1025</v>
      </c>
      <c r="F734" t="s">
        <v>1026</v>
      </c>
      <c r="G734" t="s">
        <v>1</v>
      </c>
      <c r="H734" t="s">
        <v>2</v>
      </c>
      <c r="I734" t="s">
        <v>1027</v>
      </c>
      <c r="J734" s="1">
        <v>46177</v>
      </c>
      <c r="K734" t="s">
        <v>1039</v>
      </c>
    </row>
    <row r="735" spans="1:11" x14ac:dyDescent="0.45">
      <c r="A735" t="s">
        <v>745</v>
      </c>
      <c r="B735" t="s">
        <v>1029</v>
      </c>
      <c r="C735">
        <v>47</v>
      </c>
      <c r="D735">
        <v>3</v>
      </c>
      <c r="E735" t="s">
        <v>1025</v>
      </c>
      <c r="F735" t="s">
        <v>1031</v>
      </c>
      <c r="G735" t="s">
        <v>1</v>
      </c>
      <c r="H735" t="s">
        <v>2</v>
      </c>
      <c r="I735" t="s">
        <v>1027</v>
      </c>
      <c r="J735" s="1">
        <v>46177</v>
      </c>
      <c r="K735" t="s">
        <v>1039</v>
      </c>
    </row>
    <row r="736" spans="1:11" x14ac:dyDescent="0.45">
      <c r="A736" t="s">
        <v>746</v>
      </c>
      <c r="B736" t="s">
        <v>1029</v>
      </c>
      <c r="C736">
        <v>47</v>
      </c>
      <c r="D736">
        <v>3</v>
      </c>
      <c r="E736" t="s">
        <v>1025</v>
      </c>
      <c r="F736" t="s">
        <v>1033</v>
      </c>
      <c r="G736" t="s">
        <v>1</v>
      </c>
      <c r="H736" t="s">
        <v>2</v>
      </c>
      <c r="I736" t="s">
        <v>1027</v>
      </c>
      <c r="J736" s="1">
        <v>46177</v>
      </c>
      <c r="K736" t="s">
        <v>1039</v>
      </c>
    </row>
    <row r="737" spans="1:11" x14ac:dyDescent="0.45">
      <c r="A737" t="s">
        <v>747</v>
      </c>
      <c r="B737" t="s">
        <v>1024</v>
      </c>
      <c r="C737">
        <v>14</v>
      </c>
      <c r="D737">
        <v>5</v>
      </c>
      <c r="E737" t="s">
        <v>1025</v>
      </c>
      <c r="F737" t="s">
        <v>1033</v>
      </c>
      <c r="G737" t="s">
        <v>1</v>
      </c>
      <c r="H737" t="s">
        <v>2</v>
      </c>
      <c r="I737" t="s">
        <v>1027</v>
      </c>
      <c r="J737" s="1">
        <v>46177</v>
      </c>
      <c r="K737" t="s">
        <v>1039</v>
      </c>
    </row>
    <row r="738" spans="1:11" x14ac:dyDescent="0.45">
      <c r="A738" t="s">
        <v>748</v>
      </c>
      <c r="B738" t="s">
        <v>1024</v>
      </c>
      <c r="C738">
        <v>11</v>
      </c>
      <c r="D738">
        <v>1</v>
      </c>
      <c r="E738" t="s">
        <v>1025</v>
      </c>
      <c r="F738" t="s">
        <v>1031</v>
      </c>
      <c r="G738" t="s">
        <v>1</v>
      </c>
      <c r="H738" t="s">
        <v>2</v>
      </c>
      <c r="I738" t="s">
        <v>1027</v>
      </c>
      <c r="J738" s="1">
        <v>46177</v>
      </c>
      <c r="K738" t="s">
        <v>1039</v>
      </c>
    </row>
    <row r="739" spans="1:11" x14ac:dyDescent="0.45">
      <c r="A739" t="s">
        <v>749</v>
      </c>
      <c r="B739" t="s">
        <v>1024</v>
      </c>
      <c r="C739">
        <v>25</v>
      </c>
      <c r="D739">
        <v>0</v>
      </c>
      <c r="E739" t="s">
        <v>1025</v>
      </c>
      <c r="F739" t="s">
        <v>1026</v>
      </c>
      <c r="G739" t="s">
        <v>1</v>
      </c>
      <c r="H739" t="s">
        <v>2</v>
      </c>
      <c r="I739" t="s">
        <v>1027</v>
      </c>
      <c r="J739" s="1">
        <v>46177</v>
      </c>
      <c r="K739" t="s">
        <v>1039</v>
      </c>
    </row>
    <row r="740" spans="1:11" x14ac:dyDescent="0.45">
      <c r="A740" t="s">
        <v>750</v>
      </c>
      <c r="B740" t="s">
        <v>1029</v>
      </c>
      <c r="C740">
        <v>58</v>
      </c>
      <c r="D740">
        <v>2</v>
      </c>
      <c r="E740" t="s">
        <v>1025</v>
      </c>
      <c r="F740" t="s">
        <v>1026</v>
      </c>
      <c r="G740" t="s">
        <v>1</v>
      </c>
      <c r="H740" t="s">
        <v>2</v>
      </c>
      <c r="I740" t="s">
        <v>1027</v>
      </c>
      <c r="J740" s="1">
        <v>46177</v>
      </c>
      <c r="K740" t="s">
        <v>1039</v>
      </c>
    </row>
    <row r="741" spans="1:11" x14ac:dyDescent="0.45">
      <c r="A741" t="s">
        <v>751</v>
      </c>
      <c r="B741" t="s">
        <v>1030</v>
      </c>
      <c r="C741">
        <v>42</v>
      </c>
      <c r="D741">
        <v>2</v>
      </c>
      <c r="E741" t="s">
        <v>1025</v>
      </c>
      <c r="F741" t="s">
        <v>1032</v>
      </c>
      <c r="G741" t="s">
        <v>1</v>
      </c>
      <c r="H741" t="s">
        <v>2</v>
      </c>
      <c r="I741" t="s">
        <v>1027</v>
      </c>
      <c r="J741" s="1">
        <v>46177</v>
      </c>
      <c r="K741" t="s">
        <v>1039</v>
      </c>
    </row>
    <row r="742" spans="1:11" x14ac:dyDescent="0.45">
      <c r="A742" t="s">
        <v>752</v>
      </c>
      <c r="B742" t="s">
        <v>1029</v>
      </c>
      <c r="C742">
        <v>49</v>
      </c>
      <c r="D742">
        <v>0</v>
      </c>
      <c r="E742" t="s">
        <v>1025</v>
      </c>
      <c r="F742" t="s">
        <v>1026</v>
      </c>
      <c r="G742" t="s">
        <v>1</v>
      </c>
      <c r="H742" t="s">
        <v>2</v>
      </c>
      <c r="I742" t="s">
        <v>1027</v>
      </c>
      <c r="J742" s="1">
        <v>46177</v>
      </c>
      <c r="K742" t="s">
        <v>1039</v>
      </c>
    </row>
    <row r="743" spans="1:11" x14ac:dyDescent="0.45">
      <c r="A743" t="s">
        <v>753</v>
      </c>
      <c r="B743" t="s">
        <v>1030</v>
      </c>
      <c r="C743">
        <v>30</v>
      </c>
      <c r="D743">
        <v>4</v>
      </c>
      <c r="E743" t="s">
        <v>1025</v>
      </c>
      <c r="F743" t="s">
        <v>1031</v>
      </c>
      <c r="G743" t="s">
        <v>1</v>
      </c>
      <c r="H743" t="s">
        <v>2</v>
      </c>
      <c r="I743" t="s">
        <v>1027</v>
      </c>
      <c r="J743" s="1">
        <v>46177</v>
      </c>
      <c r="K743" t="s">
        <v>1039</v>
      </c>
    </row>
    <row r="744" spans="1:11" x14ac:dyDescent="0.45">
      <c r="A744" t="s">
        <v>754</v>
      </c>
      <c r="B744" t="s">
        <v>1029</v>
      </c>
      <c r="C744">
        <v>52</v>
      </c>
      <c r="D744">
        <v>1</v>
      </c>
      <c r="E744" t="s">
        <v>1025</v>
      </c>
      <c r="F744" t="s">
        <v>1032</v>
      </c>
      <c r="G744" t="s">
        <v>1</v>
      </c>
      <c r="H744" t="s">
        <v>2</v>
      </c>
      <c r="I744" t="s">
        <v>1027</v>
      </c>
      <c r="J744" s="1">
        <v>46177</v>
      </c>
      <c r="K744" t="s">
        <v>1039</v>
      </c>
    </row>
    <row r="745" spans="1:11" x14ac:dyDescent="0.45">
      <c r="A745" t="s">
        <v>755</v>
      </c>
      <c r="B745" t="s">
        <v>1029</v>
      </c>
      <c r="C745">
        <v>59</v>
      </c>
      <c r="D745">
        <v>0</v>
      </c>
      <c r="E745" t="s">
        <v>1025</v>
      </c>
      <c r="F745" t="s">
        <v>1026</v>
      </c>
      <c r="G745" t="s">
        <v>1</v>
      </c>
      <c r="H745" t="s">
        <v>2</v>
      </c>
      <c r="I745" t="s">
        <v>1027</v>
      </c>
      <c r="J745" s="1">
        <v>46177</v>
      </c>
      <c r="K745" t="s">
        <v>1039</v>
      </c>
    </row>
    <row r="746" spans="1:11" x14ac:dyDescent="0.45">
      <c r="A746" t="s">
        <v>756</v>
      </c>
      <c r="B746" t="s">
        <v>1029</v>
      </c>
      <c r="C746">
        <v>61</v>
      </c>
      <c r="D746">
        <v>5</v>
      </c>
      <c r="E746" t="s">
        <v>1025</v>
      </c>
      <c r="F746" t="s">
        <v>1031</v>
      </c>
      <c r="G746" t="s">
        <v>1</v>
      </c>
      <c r="H746" t="s">
        <v>2</v>
      </c>
      <c r="I746" t="s">
        <v>1027</v>
      </c>
      <c r="J746" s="1">
        <v>46177</v>
      </c>
      <c r="K746" t="s">
        <v>1039</v>
      </c>
    </row>
    <row r="747" spans="1:11" x14ac:dyDescent="0.45">
      <c r="A747" t="s">
        <v>757</v>
      </c>
      <c r="B747" t="s">
        <v>1030</v>
      </c>
      <c r="C747">
        <v>38</v>
      </c>
      <c r="D747">
        <v>1</v>
      </c>
      <c r="E747" t="s">
        <v>1025</v>
      </c>
      <c r="F747" t="s">
        <v>1033</v>
      </c>
      <c r="G747" t="s">
        <v>1</v>
      </c>
      <c r="H747" t="s">
        <v>2</v>
      </c>
      <c r="I747" t="s">
        <v>1027</v>
      </c>
      <c r="J747" s="1">
        <v>46177</v>
      </c>
      <c r="K747" t="s">
        <v>1039</v>
      </c>
    </row>
    <row r="748" spans="1:11" x14ac:dyDescent="0.45">
      <c r="A748" t="s">
        <v>758</v>
      </c>
      <c r="B748" t="s">
        <v>1030</v>
      </c>
      <c r="C748">
        <v>33</v>
      </c>
      <c r="D748">
        <v>0</v>
      </c>
      <c r="E748" t="s">
        <v>1025</v>
      </c>
      <c r="F748" t="s">
        <v>1026</v>
      </c>
      <c r="G748" t="s">
        <v>1</v>
      </c>
      <c r="H748" t="s">
        <v>2</v>
      </c>
      <c r="I748" t="s">
        <v>1027</v>
      </c>
      <c r="J748" s="1">
        <v>46177</v>
      </c>
      <c r="K748" t="s">
        <v>1039</v>
      </c>
    </row>
    <row r="749" spans="1:11" x14ac:dyDescent="0.45">
      <c r="A749" t="s">
        <v>759</v>
      </c>
      <c r="B749" t="s">
        <v>1030</v>
      </c>
      <c r="C749">
        <v>44</v>
      </c>
      <c r="D749">
        <v>30</v>
      </c>
      <c r="E749" t="s">
        <v>1034</v>
      </c>
      <c r="F749" t="s">
        <v>1031</v>
      </c>
      <c r="G749" t="s">
        <v>1035</v>
      </c>
      <c r="H749" t="s">
        <v>3</v>
      </c>
      <c r="I749" t="s">
        <v>1027</v>
      </c>
      <c r="J749" s="1">
        <v>46177</v>
      </c>
      <c r="K749" t="s">
        <v>1039</v>
      </c>
    </row>
    <row r="750" spans="1:11" x14ac:dyDescent="0.45">
      <c r="A750" t="s">
        <v>760</v>
      </c>
      <c r="B750" t="s">
        <v>1029</v>
      </c>
      <c r="C750">
        <v>60</v>
      </c>
      <c r="D750">
        <v>33</v>
      </c>
      <c r="E750" t="s">
        <v>1034</v>
      </c>
      <c r="F750" t="s">
        <v>1032</v>
      </c>
      <c r="G750" t="s">
        <v>1035</v>
      </c>
      <c r="H750" t="s">
        <v>3</v>
      </c>
      <c r="I750" t="s">
        <v>1027</v>
      </c>
      <c r="J750" s="1">
        <v>46177</v>
      </c>
      <c r="K750" t="s">
        <v>1039</v>
      </c>
    </row>
    <row r="751" spans="1:11" x14ac:dyDescent="0.45">
      <c r="A751" t="s">
        <v>761</v>
      </c>
      <c r="B751" t="s">
        <v>1030</v>
      </c>
      <c r="C751">
        <v>41</v>
      </c>
      <c r="D751">
        <v>0</v>
      </c>
      <c r="E751" t="s">
        <v>1025</v>
      </c>
      <c r="F751" t="s">
        <v>1032</v>
      </c>
      <c r="G751" t="s">
        <v>1</v>
      </c>
      <c r="H751" t="s">
        <v>2</v>
      </c>
      <c r="I751" t="s">
        <v>1027</v>
      </c>
      <c r="J751" s="1">
        <v>46177</v>
      </c>
      <c r="K751" t="s">
        <v>1039</v>
      </c>
    </row>
    <row r="752" spans="1:11" x14ac:dyDescent="0.45">
      <c r="A752" t="s">
        <v>762</v>
      </c>
      <c r="B752" t="s">
        <v>1024</v>
      </c>
      <c r="C752">
        <v>17</v>
      </c>
      <c r="D752">
        <v>0</v>
      </c>
      <c r="E752" t="s">
        <v>1025</v>
      </c>
      <c r="F752" t="s">
        <v>1031</v>
      </c>
      <c r="G752" t="s">
        <v>1</v>
      </c>
      <c r="H752" t="s">
        <v>2</v>
      </c>
      <c r="I752" t="s">
        <v>1027</v>
      </c>
      <c r="J752" s="1">
        <v>46177</v>
      </c>
      <c r="K752" t="s">
        <v>1039</v>
      </c>
    </row>
    <row r="753" spans="1:11" x14ac:dyDescent="0.45">
      <c r="A753" t="s">
        <v>763</v>
      </c>
      <c r="B753" t="s">
        <v>1029</v>
      </c>
      <c r="C753">
        <v>63</v>
      </c>
      <c r="D753">
        <v>1</v>
      </c>
      <c r="E753" t="s">
        <v>1025</v>
      </c>
      <c r="F753" t="s">
        <v>1026</v>
      </c>
      <c r="G753" t="s">
        <v>1</v>
      </c>
      <c r="H753" t="s">
        <v>2</v>
      </c>
      <c r="I753" t="s">
        <v>1027</v>
      </c>
      <c r="J753" s="1">
        <v>46177</v>
      </c>
      <c r="K753" t="s">
        <v>1039</v>
      </c>
    </row>
    <row r="754" spans="1:11" x14ac:dyDescent="0.45">
      <c r="A754" t="s">
        <v>764</v>
      </c>
      <c r="B754" t="s">
        <v>1030</v>
      </c>
      <c r="C754">
        <v>32</v>
      </c>
      <c r="D754">
        <v>2</v>
      </c>
      <c r="E754" t="s">
        <v>1025</v>
      </c>
      <c r="F754" t="s">
        <v>1033</v>
      </c>
      <c r="G754" t="s">
        <v>1</v>
      </c>
      <c r="H754" t="s">
        <v>2</v>
      </c>
      <c r="I754" t="s">
        <v>1027</v>
      </c>
      <c r="J754" s="1">
        <v>46177</v>
      </c>
      <c r="K754" t="s">
        <v>1039</v>
      </c>
    </row>
    <row r="755" spans="1:11" x14ac:dyDescent="0.45">
      <c r="A755" t="s">
        <v>765</v>
      </c>
      <c r="B755" t="s">
        <v>1029</v>
      </c>
      <c r="C755">
        <v>65</v>
      </c>
      <c r="D755">
        <v>0</v>
      </c>
      <c r="E755" t="s">
        <v>1025</v>
      </c>
      <c r="F755" t="s">
        <v>1026</v>
      </c>
      <c r="G755" t="s">
        <v>1</v>
      </c>
      <c r="H755" t="s">
        <v>2</v>
      </c>
      <c r="I755" t="s">
        <v>1027</v>
      </c>
      <c r="J755" s="1">
        <v>46177</v>
      </c>
      <c r="K755" t="s">
        <v>1039</v>
      </c>
    </row>
    <row r="756" spans="1:11" x14ac:dyDescent="0.45">
      <c r="A756" t="s">
        <v>766</v>
      </c>
      <c r="B756" t="s">
        <v>1029</v>
      </c>
      <c r="C756">
        <v>46</v>
      </c>
      <c r="D756">
        <v>0</v>
      </c>
      <c r="E756" t="s">
        <v>1025</v>
      </c>
      <c r="F756" t="s">
        <v>1031</v>
      </c>
      <c r="G756" t="s">
        <v>1</v>
      </c>
      <c r="H756" t="s">
        <v>2</v>
      </c>
      <c r="I756" t="s">
        <v>1027</v>
      </c>
      <c r="J756" s="1">
        <v>46177</v>
      </c>
      <c r="K756" t="s">
        <v>1039</v>
      </c>
    </row>
    <row r="757" spans="1:11" x14ac:dyDescent="0.45">
      <c r="A757" t="s">
        <v>767</v>
      </c>
      <c r="B757" t="s">
        <v>1024</v>
      </c>
      <c r="C757">
        <v>14</v>
      </c>
      <c r="D757">
        <v>12</v>
      </c>
      <c r="E757" t="s">
        <v>1036</v>
      </c>
      <c r="F757" t="s">
        <v>1032</v>
      </c>
      <c r="G757" t="s">
        <v>1035</v>
      </c>
      <c r="H757" t="s">
        <v>3</v>
      </c>
      <c r="I757" t="s">
        <v>1027</v>
      </c>
      <c r="J757" s="1">
        <v>46177</v>
      </c>
      <c r="K757" t="s">
        <v>1039</v>
      </c>
    </row>
    <row r="758" spans="1:11" x14ac:dyDescent="0.45">
      <c r="A758" t="s">
        <v>768</v>
      </c>
      <c r="B758" t="s">
        <v>1030</v>
      </c>
      <c r="C758">
        <v>39</v>
      </c>
      <c r="D758">
        <v>1</v>
      </c>
      <c r="E758" t="s">
        <v>1025</v>
      </c>
      <c r="F758" t="s">
        <v>1026</v>
      </c>
      <c r="G758" t="s">
        <v>1</v>
      </c>
      <c r="H758" t="s">
        <v>2</v>
      </c>
      <c r="I758" t="s">
        <v>1027</v>
      </c>
      <c r="J758" s="1">
        <v>46177</v>
      </c>
      <c r="K758" t="s">
        <v>1039</v>
      </c>
    </row>
    <row r="759" spans="1:11" x14ac:dyDescent="0.45">
      <c r="A759" t="s">
        <v>769</v>
      </c>
      <c r="B759" t="s">
        <v>1030</v>
      </c>
      <c r="C759">
        <v>35</v>
      </c>
      <c r="D759">
        <v>0</v>
      </c>
      <c r="E759" t="s">
        <v>1025</v>
      </c>
      <c r="F759" t="s">
        <v>1032</v>
      </c>
      <c r="G759" t="s">
        <v>1</v>
      </c>
      <c r="H759" t="s">
        <v>2</v>
      </c>
      <c r="I759" t="s">
        <v>1027</v>
      </c>
      <c r="J759" s="1">
        <v>46177</v>
      </c>
      <c r="K759" t="s">
        <v>1039</v>
      </c>
    </row>
    <row r="760" spans="1:11" x14ac:dyDescent="0.45">
      <c r="A760" t="s">
        <v>770</v>
      </c>
      <c r="B760" t="s">
        <v>1024</v>
      </c>
      <c r="C760">
        <v>24</v>
      </c>
      <c r="D760">
        <v>26</v>
      </c>
      <c r="E760" t="s">
        <v>1034</v>
      </c>
      <c r="F760" t="s">
        <v>1026</v>
      </c>
      <c r="G760" t="s">
        <v>1035</v>
      </c>
      <c r="H760" t="s">
        <v>3</v>
      </c>
      <c r="I760" t="s">
        <v>1027</v>
      </c>
      <c r="J760" s="1">
        <v>46177</v>
      </c>
      <c r="K760" t="s">
        <v>1039</v>
      </c>
    </row>
    <row r="761" spans="1:11" x14ac:dyDescent="0.45">
      <c r="A761" t="s">
        <v>771</v>
      </c>
      <c r="B761" t="s">
        <v>1024</v>
      </c>
      <c r="C761">
        <v>14</v>
      </c>
      <c r="D761">
        <v>1</v>
      </c>
      <c r="E761" t="s">
        <v>1025</v>
      </c>
      <c r="F761" t="s">
        <v>1031</v>
      </c>
      <c r="G761" t="s">
        <v>1</v>
      </c>
      <c r="H761" t="s">
        <v>2</v>
      </c>
      <c r="I761" t="s">
        <v>1027</v>
      </c>
      <c r="J761" s="1">
        <v>46177</v>
      </c>
      <c r="K761" t="s">
        <v>1039</v>
      </c>
    </row>
    <row r="762" spans="1:11" x14ac:dyDescent="0.45">
      <c r="A762" t="s">
        <v>772</v>
      </c>
      <c r="B762" t="s">
        <v>1030</v>
      </c>
      <c r="C762">
        <v>32</v>
      </c>
      <c r="D762">
        <v>1</v>
      </c>
      <c r="E762" t="s">
        <v>1025</v>
      </c>
      <c r="F762" t="s">
        <v>1032</v>
      </c>
      <c r="G762" t="s">
        <v>1</v>
      </c>
      <c r="H762" t="s">
        <v>2</v>
      </c>
      <c r="I762" t="s">
        <v>1027</v>
      </c>
      <c r="J762" s="1">
        <v>46177</v>
      </c>
      <c r="K762" t="s">
        <v>1039</v>
      </c>
    </row>
    <row r="763" spans="1:11" x14ac:dyDescent="0.45">
      <c r="A763" t="s">
        <v>773</v>
      </c>
      <c r="B763" t="s">
        <v>1024</v>
      </c>
      <c r="C763">
        <v>23</v>
      </c>
      <c r="D763">
        <v>2</v>
      </c>
      <c r="E763" t="s">
        <v>1025</v>
      </c>
      <c r="F763" t="s">
        <v>1033</v>
      </c>
      <c r="G763" t="s">
        <v>1</v>
      </c>
      <c r="H763" t="s">
        <v>2</v>
      </c>
      <c r="I763" t="s">
        <v>1027</v>
      </c>
      <c r="J763" s="1">
        <v>46177</v>
      </c>
      <c r="K763" t="s">
        <v>1039</v>
      </c>
    </row>
    <row r="764" spans="1:11" x14ac:dyDescent="0.45">
      <c r="A764" t="s">
        <v>774</v>
      </c>
      <c r="B764" t="s">
        <v>1029</v>
      </c>
      <c r="C764">
        <v>46</v>
      </c>
      <c r="D764">
        <v>2</v>
      </c>
      <c r="E764" t="s">
        <v>1025</v>
      </c>
      <c r="F764" t="s">
        <v>1032</v>
      </c>
      <c r="G764" t="s">
        <v>1</v>
      </c>
      <c r="H764" t="s">
        <v>2</v>
      </c>
      <c r="I764" t="s">
        <v>1027</v>
      </c>
      <c r="J764" s="1">
        <v>46177</v>
      </c>
      <c r="K764" t="s">
        <v>1039</v>
      </c>
    </row>
    <row r="765" spans="1:11" x14ac:dyDescent="0.45">
      <c r="A765" t="s">
        <v>775</v>
      </c>
      <c r="B765" t="s">
        <v>1030</v>
      </c>
      <c r="C765">
        <v>39</v>
      </c>
      <c r="D765">
        <v>2</v>
      </c>
      <c r="E765" t="s">
        <v>1025</v>
      </c>
      <c r="F765" t="s">
        <v>1026</v>
      </c>
      <c r="G765" t="s">
        <v>1</v>
      </c>
      <c r="H765" t="s">
        <v>2</v>
      </c>
      <c r="I765" t="s">
        <v>1027</v>
      </c>
      <c r="J765" s="1">
        <v>46177</v>
      </c>
      <c r="K765" t="s">
        <v>1039</v>
      </c>
    </row>
    <row r="766" spans="1:11" x14ac:dyDescent="0.45">
      <c r="A766" t="s">
        <v>776</v>
      </c>
      <c r="B766" t="s">
        <v>1030</v>
      </c>
      <c r="C766">
        <v>36</v>
      </c>
      <c r="D766">
        <v>0</v>
      </c>
      <c r="E766" t="s">
        <v>1025</v>
      </c>
      <c r="F766" t="s">
        <v>1032</v>
      </c>
      <c r="G766" t="s">
        <v>1</v>
      </c>
      <c r="H766" t="s">
        <v>2</v>
      </c>
      <c r="I766" t="s">
        <v>1027</v>
      </c>
      <c r="J766" s="1">
        <v>46177</v>
      </c>
      <c r="K766" t="s">
        <v>1039</v>
      </c>
    </row>
    <row r="767" spans="1:11" x14ac:dyDescent="0.45">
      <c r="A767" t="s">
        <v>777</v>
      </c>
      <c r="B767" t="s">
        <v>1029</v>
      </c>
      <c r="C767">
        <v>53</v>
      </c>
      <c r="D767">
        <v>1</v>
      </c>
      <c r="E767" t="s">
        <v>1025</v>
      </c>
      <c r="F767" t="s">
        <v>1026</v>
      </c>
      <c r="G767" t="s">
        <v>1</v>
      </c>
      <c r="H767" t="s">
        <v>2</v>
      </c>
      <c r="I767" t="s">
        <v>1027</v>
      </c>
      <c r="J767" s="1">
        <v>46177</v>
      </c>
      <c r="K767" t="s">
        <v>1039</v>
      </c>
    </row>
    <row r="768" spans="1:11" x14ac:dyDescent="0.45">
      <c r="A768" t="s">
        <v>778</v>
      </c>
      <c r="B768" t="s">
        <v>1029</v>
      </c>
      <c r="C768">
        <v>54</v>
      </c>
      <c r="D768">
        <v>5</v>
      </c>
      <c r="E768" t="s">
        <v>1025</v>
      </c>
      <c r="F768" t="s">
        <v>1032</v>
      </c>
      <c r="G768" t="s">
        <v>1</v>
      </c>
      <c r="H768" t="s">
        <v>2</v>
      </c>
      <c r="I768" t="s">
        <v>1027</v>
      </c>
      <c r="J768" s="1">
        <v>46177</v>
      </c>
      <c r="K768" t="s">
        <v>1039</v>
      </c>
    </row>
    <row r="769" spans="1:11" x14ac:dyDescent="0.45">
      <c r="A769" t="s">
        <v>779</v>
      </c>
      <c r="B769" t="s">
        <v>1030</v>
      </c>
      <c r="C769">
        <v>37</v>
      </c>
      <c r="D769">
        <v>1</v>
      </c>
      <c r="E769" t="s">
        <v>1025</v>
      </c>
      <c r="F769" t="s">
        <v>1033</v>
      </c>
      <c r="G769" t="s">
        <v>1</v>
      </c>
      <c r="H769" t="s">
        <v>2</v>
      </c>
      <c r="I769" t="s">
        <v>1027</v>
      </c>
      <c r="J769" s="1">
        <v>46177</v>
      </c>
      <c r="K769" t="s">
        <v>1039</v>
      </c>
    </row>
    <row r="770" spans="1:11" x14ac:dyDescent="0.45">
      <c r="A770" t="s">
        <v>780</v>
      </c>
      <c r="B770" t="s">
        <v>1029</v>
      </c>
      <c r="C770">
        <v>57</v>
      </c>
      <c r="D770">
        <v>1</v>
      </c>
      <c r="E770" t="s">
        <v>1025</v>
      </c>
      <c r="F770" t="s">
        <v>1031</v>
      </c>
      <c r="G770" t="s">
        <v>1</v>
      </c>
      <c r="H770" t="s">
        <v>2</v>
      </c>
      <c r="I770" t="s">
        <v>1027</v>
      </c>
      <c r="J770" s="1">
        <v>46177</v>
      </c>
      <c r="K770" t="s">
        <v>1039</v>
      </c>
    </row>
    <row r="771" spans="1:11" x14ac:dyDescent="0.45">
      <c r="A771" t="s">
        <v>781</v>
      </c>
      <c r="B771" t="s">
        <v>1030</v>
      </c>
      <c r="C771">
        <v>43</v>
      </c>
      <c r="D771">
        <v>1</v>
      </c>
      <c r="E771" t="s">
        <v>1025</v>
      </c>
      <c r="F771" t="s">
        <v>1032</v>
      </c>
      <c r="G771" t="s">
        <v>1</v>
      </c>
      <c r="H771" t="s">
        <v>2</v>
      </c>
      <c r="I771" t="s">
        <v>1027</v>
      </c>
      <c r="J771" s="1">
        <v>46177</v>
      </c>
      <c r="K771" t="s">
        <v>1039</v>
      </c>
    </row>
    <row r="772" spans="1:11" x14ac:dyDescent="0.45">
      <c r="A772" t="s">
        <v>782</v>
      </c>
      <c r="B772" t="s">
        <v>1029</v>
      </c>
      <c r="C772">
        <v>46</v>
      </c>
      <c r="D772">
        <v>0</v>
      </c>
      <c r="E772" t="s">
        <v>1025</v>
      </c>
      <c r="F772" t="s">
        <v>1031</v>
      </c>
      <c r="G772" t="s">
        <v>1</v>
      </c>
      <c r="H772" t="s">
        <v>2</v>
      </c>
      <c r="I772" t="s">
        <v>1027</v>
      </c>
      <c r="J772" s="1">
        <v>46177</v>
      </c>
      <c r="K772" t="s">
        <v>1039</v>
      </c>
    </row>
    <row r="773" spans="1:11" x14ac:dyDescent="0.45">
      <c r="A773" t="s">
        <v>783</v>
      </c>
      <c r="B773" t="s">
        <v>1024</v>
      </c>
      <c r="C773">
        <v>13</v>
      </c>
      <c r="D773">
        <v>0</v>
      </c>
      <c r="E773" t="s">
        <v>1025</v>
      </c>
      <c r="F773" t="s">
        <v>1032</v>
      </c>
      <c r="G773" t="s">
        <v>1</v>
      </c>
      <c r="H773" t="s">
        <v>2</v>
      </c>
      <c r="I773" t="s">
        <v>1027</v>
      </c>
      <c r="J773" s="1">
        <v>46177</v>
      </c>
      <c r="K773" t="s">
        <v>1039</v>
      </c>
    </row>
    <row r="774" spans="1:11" x14ac:dyDescent="0.45">
      <c r="A774" t="s">
        <v>784</v>
      </c>
      <c r="B774" t="s">
        <v>1029</v>
      </c>
      <c r="C774">
        <v>51</v>
      </c>
      <c r="D774">
        <v>1</v>
      </c>
      <c r="E774" t="s">
        <v>1025</v>
      </c>
      <c r="F774" t="s">
        <v>1032</v>
      </c>
      <c r="G774" t="s">
        <v>1</v>
      </c>
      <c r="H774" t="s">
        <v>2</v>
      </c>
      <c r="I774" t="s">
        <v>1027</v>
      </c>
      <c r="J774" s="1">
        <v>46177</v>
      </c>
      <c r="K774" t="s">
        <v>1039</v>
      </c>
    </row>
    <row r="775" spans="1:11" x14ac:dyDescent="0.45">
      <c r="A775" t="s">
        <v>785</v>
      </c>
      <c r="B775" t="s">
        <v>1030</v>
      </c>
      <c r="C775">
        <v>38</v>
      </c>
      <c r="D775">
        <v>1</v>
      </c>
      <c r="E775" t="s">
        <v>1025</v>
      </c>
      <c r="F775" t="s">
        <v>1031</v>
      </c>
      <c r="G775" t="s">
        <v>1</v>
      </c>
      <c r="H775" t="s">
        <v>2</v>
      </c>
      <c r="I775" t="s">
        <v>1027</v>
      </c>
      <c r="J775" s="1">
        <v>46177</v>
      </c>
      <c r="K775" t="s">
        <v>1039</v>
      </c>
    </row>
    <row r="776" spans="1:11" x14ac:dyDescent="0.45">
      <c r="A776" t="s">
        <v>786</v>
      </c>
      <c r="B776" t="s">
        <v>1029</v>
      </c>
      <c r="C776">
        <v>49</v>
      </c>
      <c r="D776">
        <v>2</v>
      </c>
      <c r="E776" t="s">
        <v>1025</v>
      </c>
      <c r="F776" t="s">
        <v>1031</v>
      </c>
      <c r="G776" t="s">
        <v>1</v>
      </c>
      <c r="H776" t="s">
        <v>2</v>
      </c>
      <c r="I776" t="s">
        <v>1027</v>
      </c>
      <c r="J776" s="1">
        <v>46177</v>
      </c>
      <c r="K776" t="s">
        <v>1039</v>
      </c>
    </row>
    <row r="777" spans="1:11" x14ac:dyDescent="0.45">
      <c r="A777" t="s">
        <v>787</v>
      </c>
      <c r="B777" t="s">
        <v>1030</v>
      </c>
      <c r="C777">
        <v>37</v>
      </c>
      <c r="D777">
        <v>3</v>
      </c>
      <c r="E777" t="s">
        <v>1025</v>
      </c>
      <c r="F777" t="s">
        <v>1032</v>
      </c>
      <c r="G777" t="s">
        <v>1</v>
      </c>
      <c r="H777" t="s">
        <v>2</v>
      </c>
      <c r="I777" t="s">
        <v>1027</v>
      </c>
      <c r="J777" s="1">
        <v>46177</v>
      </c>
      <c r="K777" t="s">
        <v>1039</v>
      </c>
    </row>
    <row r="778" spans="1:11" x14ac:dyDescent="0.45">
      <c r="A778" t="s">
        <v>788</v>
      </c>
      <c r="B778" t="s">
        <v>1030</v>
      </c>
      <c r="C778">
        <v>47</v>
      </c>
      <c r="D778">
        <v>0</v>
      </c>
      <c r="E778" t="s">
        <v>1025</v>
      </c>
      <c r="F778" t="s">
        <v>1026</v>
      </c>
      <c r="G778" t="s">
        <v>1</v>
      </c>
      <c r="H778" t="s">
        <v>2</v>
      </c>
      <c r="I778" t="s">
        <v>1027</v>
      </c>
      <c r="J778" s="1">
        <v>46177</v>
      </c>
      <c r="K778" t="s">
        <v>1039</v>
      </c>
    </row>
    <row r="779" spans="1:11" x14ac:dyDescent="0.45">
      <c r="A779" t="s">
        <v>789</v>
      </c>
      <c r="B779" t="s">
        <v>1029</v>
      </c>
      <c r="C779">
        <v>61</v>
      </c>
      <c r="D779">
        <v>1</v>
      </c>
      <c r="E779" t="s">
        <v>1025</v>
      </c>
      <c r="F779" t="s">
        <v>1033</v>
      </c>
      <c r="G779" t="s">
        <v>1</v>
      </c>
      <c r="H779" t="s">
        <v>2</v>
      </c>
      <c r="I779" t="s">
        <v>1027</v>
      </c>
      <c r="J779" s="1">
        <v>46177</v>
      </c>
      <c r="K779" t="s">
        <v>1039</v>
      </c>
    </row>
    <row r="780" spans="1:11" x14ac:dyDescent="0.45">
      <c r="A780" t="s">
        <v>790</v>
      </c>
      <c r="B780" t="s">
        <v>1024</v>
      </c>
      <c r="C780">
        <v>11</v>
      </c>
      <c r="D780">
        <v>3</v>
      </c>
      <c r="E780" t="s">
        <v>1025</v>
      </c>
      <c r="F780" t="s">
        <v>1033</v>
      </c>
      <c r="G780" t="s">
        <v>1</v>
      </c>
      <c r="H780" t="s">
        <v>2</v>
      </c>
      <c r="I780" t="s">
        <v>1027</v>
      </c>
      <c r="J780" s="1">
        <v>46177</v>
      </c>
      <c r="K780" t="s">
        <v>1039</v>
      </c>
    </row>
    <row r="781" spans="1:11" x14ac:dyDescent="0.45">
      <c r="A781" t="s">
        <v>791</v>
      </c>
      <c r="B781" t="s">
        <v>1029</v>
      </c>
      <c r="C781">
        <v>48</v>
      </c>
      <c r="D781">
        <v>17</v>
      </c>
      <c r="E781" t="s">
        <v>1034</v>
      </c>
      <c r="F781" t="s">
        <v>1033</v>
      </c>
      <c r="G781" t="s">
        <v>1035</v>
      </c>
      <c r="H781" t="s">
        <v>3</v>
      </c>
      <c r="I781" t="s">
        <v>1027</v>
      </c>
      <c r="J781" s="1">
        <v>46177</v>
      </c>
      <c r="K781" t="s">
        <v>1039</v>
      </c>
    </row>
    <row r="782" spans="1:11" x14ac:dyDescent="0.45">
      <c r="A782" t="s">
        <v>792</v>
      </c>
      <c r="B782" t="s">
        <v>1029</v>
      </c>
      <c r="C782">
        <v>61</v>
      </c>
      <c r="D782">
        <v>0</v>
      </c>
      <c r="E782" t="s">
        <v>1025</v>
      </c>
      <c r="F782" t="s">
        <v>1033</v>
      </c>
      <c r="G782" t="s">
        <v>1</v>
      </c>
      <c r="H782" t="s">
        <v>2</v>
      </c>
      <c r="I782" t="s">
        <v>1027</v>
      </c>
      <c r="J782" s="1">
        <v>46177</v>
      </c>
      <c r="K782" t="s">
        <v>1039</v>
      </c>
    </row>
    <row r="783" spans="1:11" x14ac:dyDescent="0.45">
      <c r="A783" t="s">
        <v>793</v>
      </c>
      <c r="B783" t="s">
        <v>1024</v>
      </c>
      <c r="C783">
        <v>19</v>
      </c>
      <c r="D783">
        <v>4</v>
      </c>
      <c r="E783" t="s">
        <v>1025</v>
      </c>
      <c r="F783" t="s">
        <v>1032</v>
      </c>
      <c r="G783" t="s">
        <v>1</v>
      </c>
      <c r="H783" t="s">
        <v>2</v>
      </c>
      <c r="I783" t="s">
        <v>1027</v>
      </c>
      <c r="J783" s="1">
        <v>46177</v>
      </c>
      <c r="K783" t="s">
        <v>1039</v>
      </c>
    </row>
    <row r="784" spans="1:11" x14ac:dyDescent="0.45">
      <c r="A784" t="s">
        <v>794</v>
      </c>
      <c r="B784" t="s">
        <v>1029</v>
      </c>
      <c r="C784">
        <v>46</v>
      </c>
      <c r="D784">
        <v>1</v>
      </c>
      <c r="E784" t="s">
        <v>1025</v>
      </c>
      <c r="F784" t="s">
        <v>1033</v>
      </c>
      <c r="G784" t="s">
        <v>1</v>
      </c>
      <c r="H784" t="s">
        <v>2</v>
      </c>
      <c r="I784" t="s">
        <v>1027</v>
      </c>
      <c r="J784" s="1">
        <v>46177</v>
      </c>
      <c r="K784" t="s">
        <v>1039</v>
      </c>
    </row>
    <row r="785" spans="1:11" x14ac:dyDescent="0.45">
      <c r="A785" t="s">
        <v>795</v>
      </c>
      <c r="B785" t="s">
        <v>1030</v>
      </c>
      <c r="C785">
        <v>46</v>
      </c>
      <c r="D785">
        <v>2</v>
      </c>
      <c r="E785" t="s">
        <v>1025</v>
      </c>
      <c r="F785" t="s">
        <v>1033</v>
      </c>
      <c r="G785" t="s">
        <v>1</v>
      </c>
      <c r="H785" t="s">
        <v>2</v>
      </c>
      <c r="I785" t="s">
        <v>1027</v>
      </c>
      <c r="J785" s="1">
        <v>46177</v>
      </c>
      <c r="K785" t="s">
        <v>1039</v>
      </c>
    </row>
    <row r="786" spans="1:11" x14ac:dyDescent="0.45">
      <c r="A786" t="s">
        <v>796</v>
      </c>
      <c r="B786" t="s">
        <v>1029</v>
      </c>
      <c r="C786">
        <v>48</v>
      </c>
      <c r="D786">
        <v>2</v>
      </c>
      <c r="E786" t="s">
        <v>1025</v>
      </c>
      <c r="F786" t="s">
        <v>1032</v>
      </c>
      <c r="G786" t="s">
        <v>1</v>
      </c>
      <c r="H786" t="s">
        <v>2</v>
      </c>
      <c r="I786" t="s">
        <v>1027</v>
      </c>
      <c r="J786" s="1">
        <v>46177</v>
      </c>
      <c r="K786" t="s">
        <v>1039</v>
      </c>
    </row>
    <row r="787" spans="1:11" x14ac:dyDescent="0.45">
      <c r="A787" t="s">
        <v>797</v>
      </c>
      <c r="B787" t="s">
        <v>1030</v>
      </c>
      <c r="C787">
        <v>38</v>
      </c>
      <c r="D787">
        <v>2</v>
      </c>
      <c r="E787" t="s">
        <v>1025</v>
      </c>
      <c r="F787" t="s">
        <v>1026</v>
      </c>
      <c r="G787" t="s">
        <v>1</v>
      </c>
      <c r="H787" t="s">
        <v>2</v>
      </c>
      <c r="I787" t="s">
        <v>1027</v>
      </c>
      <c r="J787" s="1">
        <v>46177</v>
      </c>
      <c r="K787" t="s">
        <v>1039</v>
      </c>
    </row>
    <row r="788" spans="1:11" x14ac:dyDescent="0.45">
      <c r="A788" t="s">
        <v>798</v>
      </c>
      <c r="B788" t="s">
        <v>1029</v>
      </c>
      <c r="C788">
        <v>58</v>
      </c>
      <c r="D788">
        <v>2</v>
      </c>
      <c r="E788" t="s">
        <v>1025</v>
      </c>
      <c r="F788" t="s">
        <v>1032</v>
      </c>
      <c r="G788" t="s">
        <v>1</v>
      </c>
      <c r="H788" t="s">
        <v>2</v>
      </c>
      <c r="I788" t="s">
        <v>1027</v>
      </c>
      <c r="J788" s="1">
        <v>46177</v>
      </c>
      <c r="K788" t="s">
        <v>1039</v>
      </c>
    </row>
    <row r="789" spans="1:11" x14ac:dyDescent="0.45">
      <c r="A789" t="s">
        <v>799</v>
      </c>
      <c r="B789" t="s">
        <v>1024</v>
      </c>
      <c r="C789">
        <v>17</v>
      </c>
      <c r="D789">
        <v>1</v>
      </c>
      <c r="E789" t="s">
        <v>1025</v>
      </c>
      <c r="F789" t="s">
        <v>1026</v>
      </c>
      <c r="G789" t="s">
        <v>1</v>
      </c>
      <c r="H789" t="s">
        <v>2</v>
      </c>
      <c r="I789" t="s">
        <v>1027</v>
      </c>
      <c r="J789" s="1">
        <v>46177</v>
      </c>
      <c r="K789" t="s">
        <v>1039</v>
      </c>
    </row>
    <row r="790" spans="1:11" x14ac:dyDescent="0.45">
      <c r="A790" t="s">
        <v>800</v>
      </c>
      <c r="B790" t="s">
        <v>1024</v>
      </c>
      <c r="C790">
        <v>16</v>
      </c>
      <c r="D790">
        <v>4</v>
      </c>
      <c r="E790" t="s">
        <v>1025</v>
      </c>
      <c r="F790" t="s">
        <v>1031</v>
      </c>
      <c r="G790" t="s">
        <v>1</v>
      </c>
      <c r="H790" t="s">
        <v>2</v>
      </c>
      <c r="I790" t="s">
        <v>1027</v>
      </c>
      <c r="J790" s="1">
        <v>46177</v>
      </c>
      <c r="K790" t="s">
        <v>1039</v>
      </c>
    </row>
    <row r="791" spans="1:11" x14ac:dyDescent="0.45">
      <c r="A791" t="s">
        <v>801</v>
      </c>
      <c r="B791" t="s">
        <v>1029</v>
      </c>
      <c r="C791">
        <v>60</v>
      </c>
      <c r="D791">
        <v>0</v>
      </c>
      <c r="E791" t="s">
        <v>1025</v>
      </c>
      <c r="F791" t="s">
        <v>1031</v>
      </c>
      <c r="G791" t="s">
        <v>1</v>
      </c>
      <c r="H791" t="s">
        <v>2</v>
      </c>
      <c r="I791" t="s">
        <v>1027</v>
      </c>
      <c r="J791" s="1">
        <v>46177</v>
      </c>
      <c r="K791" t="s">
        <v>1039</v>
      </c>
    </row>
    <row r="792" spans="1:11" x14ac:dyDescent="0.45">
      <c r="A792" t="s">
        <v>802</v>
      </c>
      <c r="B792" t="s">
        <v>1024</v>
      </c>
      <c r="C792">
        <v>15</v>
      </c>
      <c r="D792">
        <v>1</v>
      </c>
      <c r="E792" t="s">
        <v>1025</v>
      </c>
      <c r="F792" t="s">
        <v>1032</v>
      </c>
      <c r="G792" t="s">
        <v>1</v>
      </c>
      <c r="H792" t="s">
        <v>2</v>
      </c>
      <c r="I792" t="s">
        <v>1027</v>
      </c>
      <c r="J792" s="1">
        <v>46177</v>
      </c>
      <c r="K792" t="s">
        <v>1039</v>
      </c>
    </row>
    <row r="793" spans="1:11" x14ac:dyDescent="0.45">
      <c r="A793" t="s">
        <v>803</v>
      </c>
      <c r="B793" t="s">
        <v>1029</v>
      </c>
      <c r="C793">
        <v>65</v>
      </c>
      <c r="D793">
        <v>0</v>
      </c>
      <c r="E793" t="s">
        <v>1025</v>
      </c>
      <c r="F793" t="s">
        <v>1031</v>
      </c>
      <c r="G793" t="s">
        <v>1</v>
      </c>
      <c r="H793" t="s">
        <v>2</v>
      </c>
      <c r="I793" t="s">
        <v>1027</v>
      </c>
      <c r="J793" s="1">
        <v>46177</v>
      </c>
      <c r="K793" t="s">
        <v>1039</v>
      </c>
    </row>
    <row r="794" spans="1:11" x14ac:dyDescent="0.45">
      <c r="A794" t="s">
        <v>804</v>
      </c>
      <c r="B794" t="s">
        <v>1024</v>
      </c>
      <c r="C794">
        <v>23</v>
      </c>
      <c r="D794">
        <v>1</v>
      </c>
      <c r="E794" t="s">
        <v>1025</v>
      </c>
      <c r="F794" t="s">
        <v>1031</v>
      </c>
      <c r="G794" t="s">
        <v>1</v>
      </c>
      <c r="H794" t="s">
        <v>2</v>
      </c>
      <c r="I794" t="s">
        <v>1027</v>
      </c>
      <c r="J794" s="1">
        <v>46177</v>
      </c>
      <c r="K794" t="s">
        <v>1039</v>
      </c>
    </row>
    <row r="795" spans="1:11" x14ac:dyDescent="0.45">
      <c r="A795" t="s">
        <v>805</v>
      </c>
      <c r="B795" t="s">
        <v>1024</v>
      </c>
      <c r="C795">
        <v>18</v>
      </c>
      <c r="D795">
        <v>1</v>
      </c>
      <c r="E795" t="s">
        <v>1025</v>
      </c>
      <c r="F795" t="s">
        <v>1033</v>
      </c>
      <c r="G795" t="s">
        <v>1</v>
      </c>
      <c r="H795" t="s">
        <v>2</v>
      </c>
      <c r="I795" t="s">
        <v>1027</v>
      </c>
      <c r="J795" s="1">
        <v>46177</v>
      </c>
      <c r="K795" t="s">
        <v>1039</v>
      </c>
    </row>
    <row r="796" spans="1:11" x14ac:dyDescent="0.45">
      <c r="A796" t="s">
        <v>806</v>
      </c>
      <c r="B796" t="s">
        <v>1029</v>
      </c>
      <c r="C796">
        <v>64</v>
      </c>
      <c r="D796">
        <v>4</v>
      </c>
      <c r="E796" t="s">
        <v>1025</v>
      </c>
      <c r="F796" t="s">
        <v>1033</v>
      </c>
      <c r="G796" t="s">
        <v>1</v>
      </c>
      <c r="H796" t="s">
        <v>2</v>
      </c>
      <c r="I796" t="s">
        <v>1027</v>
      </c>
      <c r="J796" s="1">
        <v>46177</v>
      </c>
      <c r="K796" t="s">
        <v>1039</v>
      </c>
    </row>
    <row r="797" spans="1:11" x14ac:dyDescent="0.45">
      <c r="A797" t="s">
        <v>807</v>
      </c>
      <c r="B797" t="s">
        <v>1030</v>
      </c>
      <c r="C797">
        <v>47</v>
      </c>
      <c r="D797">
        <v>1</v>
      </c>
      <c r="E797" t="s">
        <v>1025</v>
      </c>
      <c r="F797" t="s">
        <v>1032</v>
      </c>
      <c r="G797" t="s">
        <v>1</v>
      </c>
      <c r="H797" t="s">
        <v>2</v>
      </c>
      <c r="I797" t="s">
        <v>1027</v>
      </c>
      <c r="J797" s="1">
        <v>46177</v>
      </c>
      <c r="K797" t="s">
        <v>1039</v>
      </c>
    </row>
    <row r="798" spans="1:11" x14ac:dyDescent="0.45">
      <c r="A798" t="s">
        <v>808</v>
      </c>
      <c r="B798" t="s">
        <v>1030</v>
      </c>
      <c r="C798">
        <v>45</v>
      </c>
      <c r="D798">
        <v>5</v>
      </c>
      <c r="E798" t="s">
        <v>1025</v>
      </c>
      <c r="F798" t="s">
        <v>1026</v>
      </c>
      <c r="G798" t="s">
        <v>1</v>
      </c>
      <c r="H798" t="s">
        <v>2</v>
      </c>
      <c r="I798" t="s">
        <v>1027</v>
      </c>
      <c r="J798" s="1">
        <v>46177</v>
      </c>
      <c r="K798" t="s">
        <v>1039</v>
      </c>
    </row>
    <row r="799" spans="1:11" x14ac:dyDescent="0.45">
      <c r="A799" t="s">
        <v>809</v>
      </c>
      <c r="B799" t="s">
        <v>1029</v>
      </c>
      <c r="C799">
        <v>57</v>
      </c>
      <c r="D799">
        <v>1</v>
      </c>
      <c r="E799" t="s">
        <v>1025</v>
      </c>
      <c r="F799" t="s">
        <v>1031</v>
      </c>
      <c r="G799" t="s">
        <v>1</v>
      </c>
      <c r="H799" t="s">
        <v>2</v>
      </c>
      <c r="I799" t="s">
        <v>1027</v>
      </c>
      <c r="J799" s="1">
        <v>46177</v>
      </c>
      <c r="K799" t="s">
        <v>1039</v>
      </c>
    </row>
    <row r="800" spans="1:11" x14ac:dyDescent="0.45">
      <c r="A800" t="s">
        <v>810</v>
      </c>
      <c r="B800" t="s">
        <v>1029</v>
      </c>
      <c r="C800">
        <v>64</v>
      </c>
      <c r="D800">
        <v>17</v>
      </c>
      <c r="E800" t="s">
        <v>1034</v>
      </c>
      <c r="F800" t="s">
        <v>1033</v>
      </c>
      <c r="G800" t="s">
        <v>1035</v>
      </c>
      <c r="H800" t="s">
        <v>3</v>
      </c>
      <c r="I800" t="s">
        <v>1027</v>
      </c>
      <c r="J800" s="1">
        <v>46177</v>
      </c>
      <c r="K800" t="s">
        <v>1039</v>
      </c>
    </row>
    <row r="801" spans="1:11" x14ac:dyDescent="0.45">
      <c r="A801" t="s">
        <v>811</v>
      </c>
      <c r="B801" t="s">
        <v>1024</v>
      </c>
      <c r="C801">
        <v>21</v>
      </c>
      <c r="D801">
        <v>0</v>
      </c>
      <c r="E801" t="s">
        <v>1025</v>
      </c>
      <c r="F801" t="s">
        <v>1032</v>
      </c>
      <c r="G801" t="s">
        <v>1</v>
      </c>
      <c r="H801" t="s">
        <v>2</v>
      </c>
      <c r="I801" t="s">
        <v>1027</v>
      </c>
      <c r="J801" s="1">
        <v>46177</v>
      </c>
      <c r="K801" t="s">
        <v>1039</v>
      </c>
    </row>
    <row r="802" spans="1:11" x14ac:dyDescent="0.45">
      <c r="A802" t="s">
        <v>812</v>
      </c>
      <c r="B802" t="s">
        <v>1024</v>
      </c>
      <c r="C802">
        <v>10</v>
      </c>
      <c r="D802">
        <v>3</v>
      </c>
      <c r="E802" t="s">
        <v>1025</v>
      </c>
      <c r="F802" t="s">
        <v>1032</v>
      </c>
      <c r="G802" t="s">
        <v>1</v>
      </c>
      <c r="H802" t="s">
        <v>2</v>
      </c>
      <c r="I802" t="s">
        <v>1027</v>
      </c>
      <c r="J802" s="1">
        <v>46177</v>
      </c>
      <c r="K802" t="s">
        <v>1039</v>
      </c>
    </row>
    <row r="803" spans="1:11" x14ac:dyDescent="0.45">
      <c r="A803" t="s">
        <v>813</v>
      </c>
      <c r="B803" t="s">
        <v>1030</v>
      </c>
      <c r="C803">
        <v>41</v>
      </c>
      <c r="D803">
        <v>0</v>
      </c>
      <c r="E803" t="s">
        <v>1025</v>
      </c>
      <c r="F803" t="s">
        <v>1032</v>
      </c>
      <c r="G803" t="s">
        <v>1</v>
      </c>
      <c r="H803" t="s">
        <v>2</v>
      </c>
      <c r="I803" t="s">
        <v>1027</v>
      </c>
      <c r="J803" s="1">
        <v>46177</v>
      </c>
      <c r="K803" t="s">
        <v>1039</v>
      </c>
    </row>
    <row r="804" spans="1:11" x14ac:dyDescent="0.45">
      <c r="A804" t="s">
        <v>814</v>
      </c>
      <c r="B804" t="s">
        <v>1024</v>
      </c>
      <c r="C804">
        <v>20</v>
      </c>
      <c r="D804">
        <v>0</v>
      </c>
      <c r="E804" t="s">
        <v>1025</v>
      </c>
      <c r="F804" t="s">
        <v>1032</v>
      </c>
      <c r="G804" t="s">
        <v>1</v>
      </c>
      <c r="H804" t="s">
        <v>2</v>
      </c>
      <c r="I804" t="s">
        <v>1027</v>
      </c>
      <c r="J804" s="1">
        <v>46177</v>
      </c>
      <c r="K804" t="s">
        <v>1039</v>
      </c>
    </row>
    <row r="805" spans="1:11" x14ac:dyDescent="0.45">
      <c r="A805" t="s">
        <v>815</v>
      </c>
      <c r="B805" t="s">
        <v>1024</v>
      </c>
      <c r="C805">
        <v>10</v>
      </c>
      <c r="D805">
        <v>1</v>
      </c>
      <c r="E805" t="s">
        <v>1025</v>
      </c>
      <c r="F805" t="s">
        <v>1032</v>
      </c>
      <c r="G805" t="s">
        <v>1</v>
      </c>
      <c r="H805" t="s">
        <v>2</v>
      </c>
      <c r="I805" t="s">
        <v>1027</v>
      </c>
      <c r="J805" s="1">
        <v>46177</v>
      </c>
      <c r="K805" t="s">
        <v>1039</v>
      </c>
    </row>
    <row r="806" spans="1:11" x14ac:dyDescent="0.45">
      <c r="A806" t="s">
        <v>816</v>
      </c>
      <c r="B806" t="s">
        <v>1024</v>
      </c>
      <c r="C806">
        <v>22</v>
      </c>
      <c r="D806">
        <v>3</v>
      </c>
      <c r="E806" t="s">
        <v>1025</v>
      </c>
      <c r="F806" t="s">
        <v>1032</v>
      </c>
      <c r="G806" t="s">
        <v>1</v>
      </c>
      <c r="H806" t="s">
        <v>2</v>
      </c>
      <c r="I806" t="s">
        <v>1027</v>
      </c>
      <c r="J806" s="1">
        <v>46177</v>
      </c>
      <c r="K806" t="s">
        <v>1039</v>
      </c>
    </row>
    <row r="807" spans="1:11" x14ac:dyDescent="0.45">
      <c r="A807" t="s">
        <v>817</v>
      </c>
      <c r="B807" t="s">
        <v>1024</v>
      </c>
      <c r="C807">
        <v>25</v>
      </c>
      <c r="D807">
        <v>1</v>
      </c>
      <c r="E807" t="s">
        <v>1025</v>
      </c>
      <c r="F807" t="s">
        <v>1033</v>
      </c>
      <c r="G807" t="s">
        <v>1</v>
      </c>
      <c r="H807" t="s">
        <v>2</v>
      </c>
      <c r="I807" t="s">
        <v>1027</v>
      </c>
      <c r="J807" s="1">
        <v>46177</v>
      </c>
      <c r="K807" t="s">
        <v>1039</v>
      </c>
    </row>
    <row r="808" spans="1:11" x14ac:dyDescent="0.45">
      <c r="A808" t="s">
        <v>818</v>
      </c>
      <c r="B808" t="s">
        <v>1030</v>
      </c>
      <c r="C808">
        <v>42</v>
      </c>
      <c r="D808">
        <v>0</v>
      </c>
      <c r="E808" t="s">
        <v>1025</v>
      </c>
      <c r="F808" t="s">
        <v>1033</v>
      </c>
      <c r="G808" t="s">
        <v>1</v>
      </c>
      <c r="H808" t="s">
        <v>2</v>
      </c>
      <c r="I808" t="s">
        <v>1027</v>
      </c>
      <c r="J808" s="1">
        <v>46177</v>
      </c>
      <c r="K808" t="s">
        <v>1039</v>
      </c>
    </row>
    <row r="809" spans="1:11" x14ac:dyDescent="0.45">
      <c r="A809" t="s">
        <v>819</v>
      </c>
      <c r="B809" t="s">
        <v>1030</v>
      </c>
      <c r="C809">
        <v>42</v>
      </c>
      <c r="D809">
        <v>2</v>
      </c>
      <c r="E809" t="s">
        <v>1025</v>
      </c>
      <c r="F809" t="s">
        <v>1026</v>
      </c>
      <c r="G809" t="s">
        <v>1</v>
      </c>
      <c r="H809" t="s">
        <v>2</v>
      </c>
      <c r="I809" t="s">
        <v>1027</v>
      </c>
      <c r="J809" s="1">
        <v>46177</v>
      </c>
      <c r="K809" t="s">
        <v>1039</v>
      </c>
    </row>
    <row r="810" spans="1:11" x14ac:dyDescent="0.45">
      <c r="A810" t="s">
        <v>820</v>
      </c>
      <c r="B810" t="s">
        <v>1030</v>
      </c>
      <c r="C810">
        <v>33</v>
      </c>
      <c r="D810">
        <v>5</v>
      </c>
      <c r="E810" t="s">
        <v>1025</v>
      </c>
      <c r="F810" t="s">
        <v>1026</v>
      </c>
      <c r="G810" t="s">
        <v>1</v>
      </c>
      <c r="H810" t="s">
        <v>2</v>
      </c>
      <c r="I810" t="s">
        <v>1027</v>
      </c>
      <c r="J810" s="1">
        <v>46178</v>
      </c>
      <c r="K810" t="s">
        <v>1040</v>
      </c>
    </row>
    <row r="811" spans="1:11" x14ac:dyDescent="0.45">
      <c r="A811" t="s">
        <v>821</v>
      </c>
      <c r="B811" t="s">
        <v>1029</v>
      </c>
      <c r="C811">
        <v>62</v>
      </c>
      <c r="D811">
        <v>2</v>
      </c>
      <c r="E811" t="s">
        <v>1025</v>
      </c>
      <c r="F811" t="s">
        <v>1031</v>
      </c>
      <c r="G811" t="s">
        <v>1</v>
      </c>
      <c r="H811" t="s">
        <v>2</v>
      </c>
      <c r="I811" t="s">
        <v>1027</v>
      </c>
      <c r="J811" s="1">
        <v>46178</v>
      </c>
      <c r="K811" t="s">
        <v>1040</v>
      </c>
    </row>
    <row r="812" spans="1:11" x14ac:dyDescent="0.45">
      <c r="A812" t="s">
        <v>822</v>
      </c>
      <c r="B812" t="s">
        <v>1024</v>
      </c>
      <c r="C812">
        <v>11</v>
      </c>
      <c r="D812">
        <v>0</v>
      </c>
      <c r="E812" t="s">
        <v>1025</v>
      </c>
      <c r="F812" t="s">
        <v>1033</v>
      </c>
      <c r="G812" t="s">
        <v>1</v>
      </c>
      <c r="H812" t="s">
        <v>2</v>
      </c>
      <c r="I812" t="s">
        <v>1027</v>
      </c>
      <c r="J812" s="1">
        <v>46178</v>
      </c>
      <c r="K812" t="s">
        <v>1040</v>
      </c>
    </row>
    <row r="813" spans="1:11" x14ac:dyDescent="0.45">
      <c r="A813" t="s">
        <v>823</v>
      </c>
      <c r="B813" t="s">
        <v>1030</v>
      </c>
      <c r="C813">
        <v>32</v>
      </c>
      <c r="D813">
        <v>3</v>
      </c>
      <c r="E813" t="s">
        <v>1025</v>
      </c>
      <c r="F813" t="s">
        <v>1032</v>
      </c>
      <c r="G813" t="s">
        <v>1</v>
      </c>
      <c r="H813" t="s">
        <v>2</v>
      </c>
      <c r="I813" t="s">
        <v>1027</v>
      </c>
      <c r="J813" s="1">
        <v>46178</v>
      </c>
      <c r="K813" t="s">
        <v>1040</v>
      </c>
    </row>
    <row r="814" spans="1:11" x14ac:dyDescent="0.45">
      <c r="A814" t="s">
        <v>824</v>
      </c>
      <c r="B814" t="s">
        <v>1029</v>
      </c>
      <c r="C814">
        <v>63</v>
      </c>
      <c r="D814">
        <v>1</v>
      </c>
      <c r="E814" t="s">
        <v>1025</v>
      </c>
      <c r="F814" t="s">
        <v>1033</v>
      </c>
      <c r="G814" t="s">
        <v>1</v>
      </c>
      <c r="H814" t="s">
        <v>2</v>
      </c>
      <c r="I814" t="s">
        <v>1027</v>
      </c>
      <c r="J814" s="1">
        <v>46178</v>
      </c>
      <c r="K814" t="s">
        <v>1040</v>
      </c>
    </row>
    <row r="815" spans="1:11" x14ac:dyDescent="0.45">
      <c r="A815" t="s">
        <v>825</v>
      </c>
      <c r="B815" t="s">
        <v>1029</v>
      </c>
      <c r="C815">
        <v>61</v>
      </c>
      <c r="D815">
        <v>1</v>
      </c>
      <c r="E815" t="s">
        <v>1025</v>
      </c>
      <c r="F815" t="s">
        <v>1033</v>
      </c>
      <c r="G815" t="s">
        <v>1</v>
      </c>
      <c r="H815" t="s">
        <v>2</v>
      </c>
      <c r="I815" t="s">
        <v>1027</v>
      </c>
      <c r="J815" s="1">
        <v>46178</v>
      </c>
      <c r="K815" t="s">
        <v>1040</v>
      </c>
    </row>
    <row r="816" spans="1:11" x14ac:dyDescent="0.45">
      <c r="A816" t="s">
        <v>826</v>
      </c>
      <c r="B816" t="s">
        <v>1030</v>
      </c>
      <c r="C816">
        <v>32</v>
      </c>
      <c r="D816">
        <v>1</v>
      </c>
      <c r="E816" t="s">
        <v>1025</v>
      </c>
      <c r="F816" t="s">
        <v>1032</v>
      </c>
      <c r="G816" t="s">
        <v>1</v>
      </c>
      <c r="H816" t="s">
        <v>2</v>
      </c>
      <c r="I816" t="s">
        <v>1027</v>
      </c>
      <c r="J816" s="1">
        <v>46178</v>
      </c>
      <c r="K816" t="s">
        <v>1040</v>
      </c>
    </row>
    <row r="817" spans="1:11" x14ac:dyDescent="0.45">
      <c r="A817" t="s">
        <v>827</v>
      </c>
      <c r="B817" t="s">
        <v>1030</v>
      </c>
      <c r="C817">
        <v>47</v>
      </c>
      <c r="D817">
        <v>1</v>
      </c>
      <c r="E817" t="s">
        <v>1025</v>
      </c>
      <c r="F817" t="s">
        <v>1032</v>
      </c>
      <c r="G817" t="s">
        <v>1</v>
      </c>
      <c r="H817" t="s">
        <v>2</v>
      </c>
      <c r="I817" t="s">
        <v>1027</v>
      </c>
      <c r="J817" s="1">
        <v>46178</v>
      </c>
      <c r="K817" t="s">
        <v>1040</v>
      </c>
    </row>
    <row r="818" spans="1:11" x14ac:dyDescent="0.45">
      <c r="A818" t="s">
        <v>828</v>
      </c>
      <c r="B818" t="s">
        <v>1029</v>
      </c>
      <c r="C818">
        <v>46</v>
      </c>
      <c r="D818">
        <v>27</v>
      </c>
      <c r="E818" t="s">
        <v>1034</v>
      </c>
      <c r="F818" t="s">
        <v>1033</v>
      </c>
      <c r="G818" t="s">
        <v>1035</v>
      </c>
      <c r="H818" t="s">
        <v>3</v>
      </c>
      <c r="I818" t="s">
        <v>1027</v>
      </c>
      <c r="J818" s="1">
        <v>46178</v>
      </c>
      <c r="K818" t="s">
        <v>1040</v>
      </c>
    </row>
    <row r="819" spans="1:11" x14ac:dyDescent="0.45">
      <c r="A819" t="s">
        <v>829</v>
      </c>
      <c r="B819" t="s">
        <v>1029</v>
      </c>
      <c r="C819">
        <v>58</v>
      </c>
      <c r="D819">
        <v>5</v>
      </c>
      <c r="E819" t="s">
        <v>1025</v>
      </c>
      <c r="F819" t="s">
        <v>1031</v>
      </c>
      <c r="G819" t="s">
        <v>1</v>
      </c>
      <c r="H819" t="s">
        <v>2</v>
      </c>
      <c r="I819" t="s">
        <v>1027</v>
      </c>
      <c r="J819" s="1">
        <v>46178</v>
      </c>
      <c r="K819" t="s">
        <v>1040</v>
      </c>
    </row>
    <row r="820" spans="1:11" x14ac:dyDescent="0.45">
      <c r="A820" t="s">
        <v>830</v>
      </c>
      <c r="B820" t="s">
        <v>1024</v>
      </c>
      <c r="C820">
        <v>12</v>
      </c>
      <c r="D820">
        <v>31</v>
      </c>
      <c r="E820" t="s">
        <v>1034</v>
      </c>
      <c r="F820" t="s">
        <v>1033</v>
      </c>
      <c r="G820" t="s">
        <v>1035</v>
      </c>
      <c r="H820" t="s">
        <v>3</v>
      </c>
      <c r="I820" t="s">
        <v>1027</v>
      </c>
      <c r="J820" s="1">
        <v>46178</v>
      </c>
      <c r="K820" t="s">
        <v>1040</v>
      </c>
    </row>
    <row r="821" spans="1:11" x14ac:dyDescent="0.45">
      <c r="A821" t="s">
        <v>831</v>
      </c>
      <c r="B821" t="s">
        <v>1030</v>
      </c>
      <c r="C821">
        <v>33</v>
      </c>
      <c r="D821">
        <v>0</v>
      </c>
      <c r="E821" t="s">
        <v>1025</v>
      </c>
      <c r="F821" t="s">
        <v>1033</v>
      </c>
      <c r="G821" t="s">
        <v>1</v>
      </c>
      <c r="H821" t="s">
        <v>2</v>
      </c>
      <c r="I821" t="s">
        <v>1027</v>
      </c>
      <c r="J821" s="1">
        <v>46178</v>
      </c>
      <c r="K821" t="s">
        <v>1040</v>
      </c>
    </row>
    <row r="822" spans="1:11" x14ac:dyDescent="0.45">
      <c r="A822" t="s">
        <v>832</v>
      </c>
      <c r="B822" t="s">
        <v>1029</v>
      </c>
      <c r="C822">
        <v>50</v>
      </c>
      <c r="D822">
        <v>1</v>
      </c>
      <c r="E822" t="s">
        <v>1025</v>
      </c>
      <c r="F822" t="s">
        <v>1033</v>
      </c>
      <c r="G822" t="s">
        <v>1</v>
      </c>
      <c r="H822" t="s">
        <v>2</v>
      </c>
      <c r="I822" t="s">
        <v>1027</v>
      </c>
      <c r="J822" s="1">
        <v>46178</v>
      </c>
      <c r="K822" t="s">
        <v>1040</v>
      </c>
    </row>
    <row r="823" spans="1:11" x14ac:dyDescent="0.45">
      <c r="A823" t="s">
        <v>833</v>
      </c>
      <c r="B823" t="s">
        <v>1024</v>
      </c>
      <c r="C823">
        <v>23</v>
      </c>
      <c r="D823">
        <v>2</v>
      </c>
      <c r="E823" t="s">
        <v>1025</v>
      </c>
      <c r="F823" t="s">
        <v>1033</v>
      </c>
      <c r="G823" t="s">
        <v>1</v>
      </c>
      <c r="H823" t="s">
        <v>2</v>
      </c>
      <c r="I823" t="s">
        <v>1027</v>
      </c>
      <c r="J823" s="1">
        <v>46178</v>
      </c>
      <c r="K823" t="s">
        <v>1040</v>
      </c>
    </row>
    <row r="824" spans="1:11" x14ac:dyDescent="0.45">
      <c r="A824" t="s">
        <v>834</v>
      </c>
      <c r="B824" t="s">
        <v>1029</v>
      </c>
      <c r="C824">
        <v>45</v>
      </c>
      <c r="D824">
        <v>0</v>
      </c>
      <c r="E824" t="s">
        <v>1025</v>
      </c>
      <c r="F824" t="s">
        <v>1032</v>
      </c>
      <c r="G824" t="s">
        <v>1</v>
      </c>
      <c r="H824" t="s">
        <v>2</v>
      </c>
      <c r="I824" t="s">
        <v>1027</v>
      </c>
      <c r="J824" s="1">
        <v>46178</v>
      </c>
      <c r="K824" t="s">
        <v>1040</v>
      </c>
    </row>
    <row r="825" spans="1:11" x14ac:dyDescent="0.45">
      <c r="A825" t="s">
        <v>835</v>
      </c>
      <c r="B825" t="s">
        <v>1030</v>
      </c>
      <c r="C825">
        <v>37</v>
      </c>
      <c r="D825">
        <v>0</v>
      </c>
      <c r="E825" t="s">
        <v>1025</v>
      </c>
      <c r="F825" t="s">
        <v>1031</v>
      </c>
      <c r="G825" t="s">
        <v>1</v>
      </c>
      <c r="H825" t="s">
        <v>2</v>
      </c>
      <c r="I825" t="s">
        <v>1027</v>
      </c>
      <c r="J825" s="1">
        <v>46178</v>
      </c>
      <c r="K825" t="s">
        <v>1040</v>
      </c>
    </row>
    <row r="826" spans="1:11" x14ac:dyDescent="0.45">
      <c r="A826" t="s">
        <v>836</v>
      </c>
      <c r="B826" t="s">
        <v>1030</v>
      </c>
      <c r="C826">
        <v>43</v>
      </c>
      <c r="D826">
        <v>1</v>
      </c>
      <c r="E826" t="s">
        <v>1025</v>
      </c>
      <c r="F826" t="s">
        <v>1032</v>
      </c>
      <c r="G826" t="s">
        <v>1</v>
      </c>
      <c r="H826" t="s">
        <v>2</v>
      </c>
      <c r="I826" t="s">
        <v>1027</v>
      </c>
      <c r="J826" s="1">
        <v>46178</v>
      </c>
      <c r="K826" t="s">
        <v>1040</v>
      </c>
    </row>
    <row r="827" spans="1:11" x14ac:dyDescent="0.45">
      <c r="A827" t="s">
        <v>837</v>
      </c>
      <c r="B827" t="s">
        <v>1024</v>
      </c>
      <c r="C827">
        <v>24</v>
      </c>
      <c r="D827">
        <v>3</v>
      </c>
      <c r="E827" t="s">
        <v>1025</v>
      </c>
      <c r="F827" t="s">
        <v>1026</v>
      </c>
      <c r="G827" t="s">
        <v>1</v>
      </c>
      <c r="H827" t="s">
        <v>2</v>
      </c>
      <c r="I827" t="s">
        <v>1027</v>
      </c>
      <c r="J827" s="1">
        <v>46178</v>
      </c>
      <c r="K827" t="s">
        <v>1040</v>
      </c>
    </row>
    <row r="828" spans="1:11" x14ac:dyDescent="0.45">
      <c r="A828" t="s">
        <v>838</v>
      </c>
      <c r="B828" t="s">
        <v>1029</v>
      </c>
      <c r="C828">
        <v>59</v>
      </c>
      <c r="D828">
        <v>1</v>
      </c>
      <c r="E828" t="s">
        <v>1025</v>
      </c>
      <c r="F828" t="s">
        <v>1033</v>
      </c>
      <c r="G828" t="s">
        <v>1</v>
      </c>
      <c r="H828" t="s">
        <v>2</v>
      </c>
      <c r="I828" t="s">
        <v>1027</v>
      </c>
      <c r="J828" s="1">
        <v>46178</v>
      </c>
      <c r="K828" t="s">
        <v>1040</v>
      </c>
    </row>
    <row r="829" spans="1:11" x14ac:dyDescent="0.45">
      <c r="A829" t="s">
        <v>839</v>
      </c>
      <c r="B829" t="s">
        <v>1029</v>
      </c>
      <c r="C829">
        <v>59</v>
      </c>
      <c r="D829">
        <v>0</v>
      </c>
      <c r="E829" t="s">
        <v>1025</v>
      </c>
      <c r="F829" t="s">
        <v>1026</v>
      </c>
      <c r="G829" t="s">
        <v>1</v>
      </c>
      <c r="H829" t="s">
        <v>2</v>
      </c>
      <c r="I829" t="s">
        <v>1027</v>
      </c>
      <c r="J829" s="1">
        <v>46178</v>
      </c>
      <c r="K829" t="s">
        <v>1040</v>
      </c>
    </row>
    <row r="830" spans="1:11" x14ac:dyDescent="0.45">
      <c r="A830" t="s">
        <v>840</v>
      </c>
      <c r="B830" t="s">
        <v>1030</v>
      </c>
      <c r="C830">
        <v>36</v>
      </c>
      <c r="D830">
        <v>0</v>
      </c>
      <c r="E830" t="s">
        <v>1025</v>
      </c>
      <c r="F830" t="s">
        <v>1026</v>
      </c>
      <c r="G830" t="s">
        <v>1</v>
      </c>
      <c r="H830" t="s">
        <v>2</v>
      </c>
      <c r="I830" t="s">
        <v>1027</v>
      </c>
      <c r="J830" s="1">
        <v>46178</v>
      </c>
      <c r="K830" t="s">
        <v>1040</v>
      </c>
    </row>
    <row r="831" spans="1:11" x14ac:dyDescent="0.45">
      <c r="A831" t="s">
        <v>841</v>
      </c>
      <c r="B831" t="s">
        <v>1030</v>
      </c>
      <c r="C831">
        <v>33</v>
      </c>
      <c r="D831">
        <v>0</v>
      </c>
      <c r="E831" t="s">
        <v>1025</v>
      </c>
      <c r="F831" t="s">
        <v>1033</v>
      </c>
      <c r="G831" t="s">
        <v>1</v>
      </c>
      <c r="H831" t="s">
        <v>2</v>
      </c>
      <c r="I831" t="s">
        <v>1027</v>
      </c>
      <c r="J831" s="1">
        <v>46178</v>
      </c>
      <c r="K831" t="s">
        <v>1040</v>
      </c>
    </row>
    <row r="832" spans="1:11" x14ac:dyDescent="0.45">
      <c r="A832" t="s">
        <v>842</v>
      </c>
      <c r="B832" t="s">
        <v>1029</v>
      </c>
      <c r="C832">
        <v>58</v>
      </c>
      <c r="D832">
        <v>3</v>
      </c>
      <c r="E832" t="s">
        <v>1025</v>
      </c>
      <c r="F832" t="s">
        <v>1026</v>
      </c>
      <c r="G832" t="s">
        <v>1</v>
      </c>
      <c r="H832" t="s">
        <v>2</v>
      </c>
      <c r="I832" t="s">
        <v>1027</v>
      </c>
      <c r="J832" s="1">
        <v>46178</v>
      </c>
      <c r="K832" t="s">
        <v>1040</v>
      </c>
    </row>
    <row r="833" spans="1:11" x14ac:dyDescent="0.45">
      <c r="A833" t="s">
        <v>843</v>
      </c>
      <c r="B833" t="s">
        <v>1029</v>
      </c>
      <c r="C833">
        <v>64</v>
      </c>
      <c r="D833">
        <v>3</v>
      </c>
      <c r="E833" t="s">
        <v>1025</v>
      </c>
      <c r="F833" t="s">
        <v>1033</v>
      </c>
      <c r="G833" t="s">
        <v>1</v>
      </c>
      <c r="H833" t="s">
        <v>2</v>
      </c>
      <c r="I833" t="s">
        <v>1027</v>
      </c>
      <c r="J833" s="1">
        <v>46178</v>
      </c>
      <c r="K833" t="s">
        <v>1040</v>
      </c>
    </row>
    <row r="834" spans="1:11" x14ac:dyDescent="0.45">
      <c r="A834" t="s">
        <v>844</v>
      </c>
      <c r="B834" t="s">
        <v>1024</v>
      </c>
      <c r="C834">
        <v>23</v>
      </c>
      <c r="D834">
        <v>0</v>
      </c>
      <c r="E834" t="s">
        <v>1025</v>
      </c>
      <c r="F834" t="s">
        <v>1032</v>
      </c>
      <c r="G834" t="s">
        <v>1</v>
      </c>
      <c r="H834" t="s">
        <v>2</v>
      </c>
      <c r="I834" t="s">
        <v>1027</v>
      </c>
      <c r="J834" s="1">
        <v>46178</v>
      </c>
      <c r="K834" t="s">
        <v>1040</v>
      </c>
    </row>
    <row r="835" spans="1:11" x14ac:dyDescent="0.45">
      <c r="A835" t="s">
        <v>845</v>
      </c>
      <c r="B835" t="s">
        <v>1024</v>
      </c>
      <c r="C835">
        <v>17</v>
      </c>
      <c r="D835">
        <v>1</v>
      </c>
      <c r="E835" t="s">
        <v>1025</v>
      </c>
      <c r="F835" t="s">
        <v>1032</v>
      </c>
      <c r="G835" t="s">
        <v>1</v>
      </c>
      <c r="H835" t="s">
        <v>2</v>
      </c>
      <c r="I835" t="s">
        <v>1027</v>
      </c>
      <c r="J835" s="1">
        <v>46178</v>
      </c>
      <c r="K835" t="s">
        <v>1040</v>
      </c>
    </row>
    <row r="836" spans="1:11" x14ac:dyDescent="0.45">
      <c r="A836" t="s">
        <v>846</v>
      </c>
      <c r="B836" t="s">
        <v>1030</v>
      </c>
      <c r="C836">
        <v>35</v>
      </c>
      <c r="D836">
        <v>1</v>
      </c>
      <c r="E836" t="s">
        <v>1025</v>
      </c>
      <c r="F836" t="s">
        <v>1033</v>
      </c>
      <c r="G836" t="s">
        <v>1</v>
      </c>
      <c r="H836" t="s">
        <v>2</v>
      </c>
      <c r="I836" t="s">
        <v>1027</v>
      </c>
      <c r="J836" s="1">
        <v>46178</v>
      </c>
      <c r="K836" t="s">
        <v>1040</v>
      </c>
    </row>
    <row r="837" spans="1:11" x14ac:dyDescent="0.45">
      <c r="A837" t="s">
        <v>847</v>
      </c>
      <c r="B837" t="s">
        <v>1030</v>
      </c>
      <c r="C837">
        <v>31</v>
      </c>
      <c r="D837">
        <v>0</v>
      </c>
      <c r="E837" t="s">
        <v>1025</v>
      </c>
      <c r="F837" t="s">
        <v>1033</v>
      </c>
      <c r="G837" t="s">
        <v>1</v>
      </c>
      <c r="H837" t="s">
        <v>2</v>
      </c>
      <c r="I837" t="s">
        <v>1027</v>
      </c>
      <c r="J837" s="1">
        <v>46178</v>
      </c>
      <c r="K837" t="s">
        <v>1040</v>
      </c>
    </row>
    <row r="838" spans="1:11" x14ac:dyDescent="0.45">
      <c r="A838" t="s">
        <v>848</v>
      </c>
      <c r="B838" t="s">
        <v>1030</v>
      </c>
      <c r="C838">
        <v>42</v>
      </c>
      <c r="D838">
        <v>1</v>
      </c>
      <c r="E838" t="s">
        <v>1025</v>
      </c>
      <c r="F838" t="s">
        <v>1031</v>
      </c>
      <c r="G838" t="s">
        <v>1</v>
      </c>
      <c r="H838" t="s">
        <v>2</v>
      </c>
      <c r="I838" t="s">
        <v>1027</v>
      </c>
      <c r="J838" s="1">
        <v>46178</v>
      </c>
      <c r="K838" t="s">
        <v>1040</v>
      </c>
    </row>
    <row r="839" spans="1:11" x14ac:dyDescent="0.45">
      <c r="A839" t="s">
        <v>849</v>
      </c>
      <c r="B839" t="s">
        <v>1029</v>
      </c>
      <c r="C839">
        <v>49</v>
      </c>
      <c r="D839">
        <v>1</v>
      </c>
      <c r="E839" t="s">
        <v>1025</v>
      </c>
      <c r="F839" t="s">
        <v>1031</v>
      </c>
      <c r="G839" t="s">
        <v>1</v>
      </c>
      <c r="H839" t="s">
        <v>2</v>
      </c>
      <c r="I839" t="s">
        <v>1027</v>
      </c>
      <c r="J839" s="1">
        <v>46178</v>
      </c>
      <c r="K839" t="s">
        <v>1040</v>
      </c>
    </row>
    <row r="840" spans="1:11" x14ac:dyDescent="0.45">
      <c r="A840" t="s">
        <v>850</v>
      </c>
      <c r="B840" t="s">
        <v>1029</v>
      </c>
      <c r="C840">
        <v>50</v>
      </c>
      <c r="D840">
        <v>0</v>
      </c>
      <c r="E840" t="s">
        <v>1025</v>
      </c>
      <c r="F840" t="s">
        <v>1031</v>
      </c>
      <c r="G840" t="s">
        <v>1</v>
      </c>
      <c r="H840" t="s">
        <v>2</v>
      </c>
      <c r="I840" t="s">
        <v>1027</v>
      </c>
      <c r="J840" s="1">
        <v>46178</v>
      </c>
      <c r="K840" t="s">
        <v>1040</v>
      </c>
    </row>
    <row r="841" spans="1:11" x14ac:dyDescent="0.45">
      <c r="A841" t="s">
        <v>851</v>
      </c>
      <c r="B841" t="s">
        <v>1030</v>
      </c>
      <c r="C841">
        <v>30</v>
      </c>
      <c r="D841">
        <v>1</v>
      </c>
      <c r="E841" t="s">
        <v>1025</v>
      </c>
      <c r="F841" t="s">
        <v>1026</v>
      </c>
      <c r="G841" t="s">
        <v>1</v>
      </c>
      <c r="H841" t="s">
        <v>2</v>
      </c>
      <c r="I841" t="s">
        <v>1027</v>
      </c>
      <c r="J841" s="1">
        <v>46178</v>
      </c>
      <c r="K841" t="s">
        <v>1040</v>
      </c>
    </row>
    <row r="842" spans="1:11" x14ac:dyDescent="0.45">
      <c r="A842" t="s">
        <v>852</v>
      </c>
      <c r="B842" t="s">
        <v>1030</v>
      </c>
      <c r="C842">
        <v>39</v>
      </c>
      <c r="D842">
        <v>1</v>
      </c>
      <c r="E842" t="s">
        <v>1025</v>
      </c>
      <c r="F842" t="s">
        <v>1026</v>
      </c>
      <c r="G842" t="s">
        <v>1</v>
      </c>
      <c r="H842" t="s">
        <v>2</v>
      </c>
      <c r="I842" t="s">
        <v>1027</v>
      </c>
      <c r="J842" s="1">
        <v>46178</v>
      </c>
      <c r="K842" t="s">
        <v>1040</v>
      </c>
    </row>
    <row r="843" spans="1:11" x14ac:dyDescent="0.45">
      <c r="A843" t="s">
        <v>853</v>
      </c>
      <c r="B843" t="s">
        <v>1029</v>
      </c>
      <c r="C843">
        <v>45</v>
      </c>
      <c r="D843">
        <v>0</v>
      </c>
      <c r="E843" t="s">
        <v>1025</v>
      </c>
      <c r="F843" t="s">
        <v>1033</v>
      </c>
      <c r="G843" t="s">
        <v>1</v>
      </c>
      <c r="H843" t="s">
        <v>2</v>
      </c>
      <c r="I843" t="s">
        <v>1027</v>
      </c>
      <c r="J843" s="1">
        <v>46178</v>
      </c>
      <c r="K843" t="s">
        <v>1040</v>
      </c>
    </row>
    <row r="844" spans="1:11" x14ac:dyDescent="0.45">
      <c r="A844" t="s">
        <v>854</v>
      </c>
      <c r="B844" t="s">
        <v>1024</v>
      </c>
      <c r="C844">
        <v>18</v>
      </c>
      <c r="D844">
        <v>1</v>
      </c>
      <c r="E844" t="s">
        <v>1025</v>
      </c>
      <c r="F844" t="s">
        <v>1032</v>
      </c>
      <c r="G844" t="s">
        <v>1</v>
      </c>
      <c r="H844" t="s">
        <v>2</v>
      </c>
      <c r="I844" t="s">
        <v>1027</v>
      </c>
      <c r="J844" s="1">
        <v>46178</v>
      </c>
      <c r="K844" t="s">
        <v>1040</v>
      </c>
    </row>
    <row r="845" spans="1:11" x14ac:dyDescent="0.45">
      <c r="A845" t="s">
        <v>855</v>
      </c>
      <c r="B845" t="s">
        <v>1024</v>
      </c>
      <c r="C845">
        <v>13</v>
      </c>
      <c r="D845">
        <v>32</v>
      </c>
      <c r="E845" t="s">
        <v>1034</v>
      </c>
      <c r="F845" t="s">
        <v>1032</v>
      </c>
      <c r="G845" t="s">
        <v>1035</v>
      </c>
      <c r="H845" t="s">
        <v>3</v>
      </c>
      <c r="I845" t="s">
        <v>1027</v>
      </c>
      <c r="J845" s="1">
        <v>46178</v>
      </c>
      <c r="K845" t="s">
        <v>1040</v>
      </c>
    </row>
    <row r="846" spans="1:11" x14ac:dyDescent="0.45">
      <c r="A846" t="s">
        <v>856</v>
      </c>
      <c r="B846" t="s">
        <v>1030</v>
      </c>
      <c r="C846">
        <v>39</v>
      </c>
      <c r="D846">
        <v>2</v>
      </c>
      <c r="E846" t="s">
        <v>1025</v>
      </c>
      <c r="F846" t="s">
        <v>1026</v>
      </c>
      <c r="G846" t="s">
        <v>1</v>
      </c>
      <c r="H846" t="s">
        <v>2</v>
      </c>
      <c r="I846" t="s">
        <v>1027</v>
      </c>
      <c r="J846" s="1">
        <v>46178</v>
      </c>
      <c r="K846" t="s">
        <v>1040</v>
      </c>
    </row>
    <row r="847" spans="1:11" x14ac:dyDescent="0.45">
      <c r="A847" t="s">
        <v>857</v>
      </c>
      <c r="B847" t="s">
        <v>1024</v>
      </c>
      <c r="C847">
        <v>12</v>
      </c>
      <c r="D847">
        <v>2</v>
      </c>
      <c r="E847" t="s">
        <v>1025</v>
      </c>
      <c r="F847" t="s">
        <v>1032</v>
      </c>
      <c r="G847" t="s">
        <v>1</v>
      </c>
      <c r="H847" t="s">
        <v>2</v>
      </c>
      <c r="I847" t="s">
        <v>1027</v>
      </c>
      <c r="J847" s="1">
        <v>46178</v>
      </c>
      <c r="K847" t="s">
        <v>1040</v>
      </c>
    </row>
    <row r="848" spans="1:11" x14ac:dyDescent="0.45">
      <c r="A848" t="s">
        <v>858</v>
      </c>
      <c r="B848" t="s">
        <v>1030</v>
      </c>
      <c r="C848">
        <v>42</v>
      </c>
      <c r="D848">
        <v>0</v>
      </c>
      <c r="E848" t="s">
        <v>1025</v>
      </c>
      <c r="F848" t="s">
        <v>1026</v>
      </c>
      <c r="G848" t="s">
        <v>1</v>
      </c>
      <c r="H848" t="s">
        <v>2</v>
      </c>
      <c r="I848" t="s">
        <v>1027</v>
      </c>
      <c r="J848" s="1">
        <v>46178</v>
      </c>
      <c r="K848" t="s">
        <v>1040</v>
      </c>
    </row>
    <row r="849" spans="1:11" x14ac:dyDescent="0.45">
      <c r="A849" t="s">
        <v>859</v>
      </c>
      <c r="B849" t="s">
        <v>1030</v>
      </c>
      <c r="C849">
        <v>42</v>
      </c>
      <c r="D849">
        <v>2</v>
      </c>
      <c r="E849" t="s">
        <v>1025</v>
      </c>
      <c r="F849" t="s">
        <v>1026</v>
      </c>
      <c r="G849" t="s">
        <v>1</v>
      </c>
      <c r="H849" t="s">
        <v>2</v>
      </c>
      <c r="I849" t="s">
        <v>1027</v>
      </c>
      <c r="J849" s="1">
        <v>46178</v>
      </c>
      <c r="K849" t="s">
        <v>1040</v>
      </c>
    </row>
    <row r="850" spans="1:11" x14ac:dyDescent="0.45">
      <c r="A850" t="s">
        <v>860</v>
      </c>
      <c r="B850" t="s">
        <v>1024</v>
      </c>
      <c r="C850">
        <v>13</v>
      </c>
      <c r="D850">
        <v>0</v>
      </c>
      <c r="E850" t="s">
        <v>1025</v>
      </c>
      <c r="F850" t="s">
        <v>1032</v>
      </c>
      <c r="G850" t="s">
        <v>1</v>
      </c>
      <c r="H850" t="s">
        <v>2</v>
      </c>
      <c r="I850" t="s">
        <v>1027</v>
      </c>
      <c r="J850" s="1">
        <v>46178</v>
      </c>
      <c r="K850" t="s">
        <v>1040</v>
      </c>
    </row>
    <row r="851" spans="1:11" x14ac:dyDescent="0.45">
      <c r="A851" t="s">
        <v>861</v>
      </c>
      <c r="B851" t="s">
        <v>1030</v>
      </c>
      <c r="C851">
        <v>44</v>
      </c>
      <c r="D851">
        <v>3</v>
      </c>
      <c r="E851" t="s">
        <v>1025</v>
      </c>
      <c r="F851" t="s">
        <v>1032</v>
      </c>
      <c r="G851" t="s">
        <v>1</v>
      </c>
      <c r="H851" t="s">
        <v>2</v>
      </c>
      <c r="I851" t="s">
        <v>1027</v>
      </c>
      <c r="J851" s="1">
        <v>46178</v>
      </c>
      <c r="K851" t="s">
        <v>1040</v>
      </c>
    </row>
    <row r="852" spans="1:11" x14ac:dyDescent="0.45">
      <c r="A852" t="s">
        <v>862</v>
      </c>
      <c r="B852" t="s">
        <v>1024</v>
      </c>
      <c r="C852">
        <v>16</v>
      </c>
      <c r="D852">
        <v>0</v>
      </c>
      <c r="E852" t="s">
        <v>1025</v>
      </c>
      <c r="F852" t="s">
        <v>1031</v>
      </c>
      <c r="G852" t="s">
        <v>1</v>
      </c>
      <c r="H852" t="s">
        <v>2</v>
      </c>
      <c r="I852" t="s">
        <v>1027</v>
      </c>
      <c r="J852" s="1">
        <v>46178</v>
      </c>
      <c r="K852" t="s">
        <v>1040</v>
      </c>
    </row>
    <row r="853" spans="1:11" x14ac:dyDescent="0.45">
      <c r="A853" t="s">
        <v>863</v>
      </c>
      <c r="B853" t="s">
        <v>1029</v>
      </c>
      <c r="C853">
        <v>47</v>
      </c>
      <c r="D853">
        <v>1</v>
      </c>
      <c r="E853" t="s">
        <v>1025</v>
      </c>
      <c r="F853" t="s">
        <v>1026</v>
      </c>
      <c r="G853" t="s">
        <v>1</v>
      </c>
      <c r="H853" t="s">
        <v>2</v>
      </c>
      <c r="I853" t="s">
        <v>1027</v>
      </c>
      <c r="J853" s="1">
        <v>46178</v>
      </c>
      <c r="K853" t="s">
        <v>1040</v>
      </c>
    </row>
    <row r="854" spans="1:11" x14ac:dyDescent="0.45">
      <c r="A854" t="s">
        <v>864</v>
      </c>
      <c r="B854" t="s">
        <v>1024</v>
      </c>
      <c r="C854">
        <v>11</v>
      </c>
      <c r="D854">
        <v>2</v>
      </c>
      <c r="E854" t="s">
        <v>1025</v>
      </c>
      <c r="F854" t="s">
        <v>1026</v>
      </c>
      <c r="G854" t="s">
        <v>1</v>
      </c>
      <c r="H854" t="s">
        <v>2</v>
      </c>
      <c r="I854" t="s">
        <v>1027</v>
      </c>
      <c r="J854" s="1">
        <v>46178</v>
      </c>
      <c r="K854" t="s">
        <v>1040</v>
      </c>
    </row>
    <row r="855" spans="1:11" x14ac:dyDescent="0.45">
      <c r="A855" t="s">
        <v>865</v>
      </c>
      <c r="B855" t="s">
        <v>1029</v>
      </c>
      <c r="C855">
        <v>49</v>
      </c>
      <c r="D855">
        <v>3</v>
      </c>
      <c r="E855" t="s">
        <v>1025</v>
      </c>
      <c r="F855" t="s">
        <v>1033</v>
      </c>
      <c r="G855" t="s">
        <v>1</v>
      </c>
      <c r="H855" t="s">
        <v>2</v>
      </c>
      <c r="I855" t="s">
        <v>1027</v>
      </c>
      <c r="J855" s="1">
        <v>46178</v>
      </c>
      <c r="K855" t="s">
        <v>1040</v>
      </c>
    </row>
    <row r="856" spans="1:11" x14ac:dyDescent="0.45">
      <c r="A856" t="s">
        <v>866</v>
      </c>
      <c r="B856" t="s">
        <v>1029</v>
      </c>
      <c r="C856">
        <v>58</v>
      </c>
      <c r="D856">
        <v>1</v>
      </c>
      <c r="E856" t="s">
        <v>1025</v>
      </c>
      <c r="F856" t="s">
        <v>1026</v>
      </c>
      <c r="G856" t="s">
        <v>1</v>
      </c>
      <c r="H856" t="s">
        <v>2</v>
      </c>
      <c r="I856" t="s">
        <v>1027</v>
      </c>
      <c r="J856" s="1">
        <v>46178</v>
      </c>
      <c r="K856" t="s">
        <v>1040</v>
      </c>
    </row>
    <row r="857" spans="1:11" x14ac:dyDescent="0.45">
      <c r="A857" t="s">
        <v>867</v>
      </c>
      <c r="B857" t="s">
        <v>1030</v>
      </c>
      <c r="C857">
        <v>39</v>
      </c>
      <c r="D857">
        <v>0</v>
      </c>
      <c r="E857" t="s">
        <v>1025</v>
      </c>
      <c r="F857" t="s">
        <v>1033</v>
      </c>
      <c r="G857" t="s">
        <v>1</v>
      </c>
      <c r="H857" t="s">
        <v>2</v>
      </c>
      <c r="I857" t="s">
        <v>1027</v>
      </c>
      <c r="J857" s="1">
        <v>46178</v>
      </c>
      <c r="K857" t="s">
        <v>1040</v>
      </c>
    </row>
    <row r="858" spans="1:11" x14ac:dyDescent="0.45">
      <c r="A858" t="s">
        <v>868</v>
      </c>
      <c r="B858" t="s">
        <v>1029</v>
      </c>
      <c r="C858">
        <v>46</v>
      </c>
      <c r="D858">
        <v>4</v>
      </c>
      <c r="E858" t="s">
        <v>1025</v>
      </c>
      <c r="F858" t="s">
        <v>1031</v>
      </c>
      <c r="G858" t="s">
        <v>1</v>
      </c>
      <c r="H858" t="s">
        <v>2</v>
      </c>
      <c r="I858" t="s">
        <v>1027</v>
      </c>
      <c r="J858" s="1">
        <v>46178</v>
      </c>
      <c r="K858" t="s">
        <v>1040</v>
      </c>
    </row>
    <row r="859" spans="1:11" x14ac:dyDescent="0.45">
      <c r="A859" t="s">
        <v>869</v>
      </c>
      <c r="B859" t="s">
        <v>1024</v>
      </c>
      <c r="C859">
        <v>23</v>
      </c>
      <c r="D859">
        <v>4</v>
      </c>
      <c r="E859" t="s">
        <v>1025</v>
      </c>
      <c r="F859" t="s">
        <v>1032</v>
      </c>
      <c r="G859" t="s">
        <v>1</v>
      </c>
      <c r="H859" t="s">
        <v>2</v>
      </c>
      <c r="I859" t="s">
        <v>1027</v>
      </c>
      <c r="J859" s="1">
        <v>46178</v>
      </c>
      <c r="K859" t="s">
        <v>1040</v>
      </c>
    </row>
    <row r="860" spans="1:11" x14ac:dyDescent="0.45">
      <c r="A860" t="s">
        <v>870</v>
      </c>
      <c r="B860" t="s">
        <v>1030</v>
      </c>
      <c r="C860">
        <v>43</v>
      </c>
      <c r="D860">
        <v>1</v>
      </c>
      <c r="E860" t="s">
        <v>1025</v>
      </c>
      <c r="F860" t="s">
        <v>1033</v>
      </c>
      <c r="G860" t="s">
        <v>1</v>
      </c>
      <c r="H860" t="s">
        <v>2</v>
      </c>
      <c r="I860" t="s">
        <v>1027</v>
      </c>
      <c r="J860" s="1">
        <v>46178</v>
      </c>
      <c r="K860" t="s">
        <v>1040</v>
      </c>
    </row>
    <row r="861" spans="1:11" x14ac:dyDescent="0.45">
      <c r="A861" t="s">
        <v>871</v>
      </c>
      <c r="B861" t="s">
        <v>1024</v>
      </c>
      <c r="C861">
        <v>11</v>
      </c>
      <c r="D861">
        <v>0</v>
      </c>
      <c r="E861" t="s">
        <v>1025</v>
      </c>
      <c r="F861" t="s">
        <v>1033</v>
      </c>
      <c r="G861" t="s">
        <v>1</v>
      </c>
      <c r="H861" t="s">
        <v>2</v>
      </c>
      <c r="I861" t="s">
        <v>1027</v>
      </c>
      <c r="J861" s="1">
        <v>46178</v>
      </c>
      <c r="K861" t="s">
        <v>1040</v>
      </c>
    </row>
    <row r="862" spans="1:11" x14ac:dyDescent="0.45">
      <c r="A862" t="s">
        <v>872</v>
      </c>
      <c r="B862" t="s">
        <v>1024</v>
      </c>
      <c r="C862">
        <v>15</v>
      </c>
      <c r="D862">
        <v>5</v>
      </c>
      <c r="E862" t="s">
        <v>1025</v>
      </c>
      <c r="F862" t="s">
        <v>1032</v>
      </c>
      <c r="G862" t="s">
        <v>1</v>
      </c>
      <c r="H862" t="s">
        <v>2</v>
      </c>
      <c r="I862" t="s">
        <v>1027</v>
      </c>
      <c r="J862" s="1">
        <v>46178</v>
      </c>
      <c r="K862" t="s">
        <v>1040</v>
      </c>
    </row>
    <row r="863" spans="1:11" x14ac:dyDescent="0.45">
      <c r="A863" t="s">
        <v>873</v>
      </c>
      <c r="B863" t="s">
        <v>1030</v>
      </c>
      <c r="C863">
        <v>33</v>
      </c>
      <c r="D863">
        <v>1</v>
      </c>
      <c r="E863" t="s">
        <v>1025</v>
      </c>
      <c r="F863" t="s">
        <v>1032</v>
      </c>
      <c r="G863" t="s">
        <v>1</v>
      </c>
      <c r="H863" t="s">
        <v>2</v>
      </c>
      <c r="I863" t="s">
        <v>1027</v>
      </c>
      <c r="J863" s="1">
        <v>46178</v>
      </c>
      <c r="K863" t="s">
        <v>1040</v>
      </c>
    </row>
    <row r="864" spans="1:11" x14ac:dyDescent="0.45">
      <c r="A864" t="s">
        <v>874</v>
      </c>
      <c r="B864" t="s">
        <v>1024</v>
      </c>
      <c r="C864">
        <v>24</v>
      </c>
      <c r="D864">
        <v>1</v>
      </c>
      <c r="E864" t="s">
        <v>1025</v>
      </c>
      <c r="F864" t="s">
        <v>1031</v>
      </c>
      <c r="G864" t="s">
        <v>1</v>
      </c>
      <c r="H864" t="s">
        <v>2</v>
      </c>
      <c r="I864" t="s">
        <v>1027</v>
      </c>
      <c r="J864" s="1">
        <v>46178</v>
      </c>
      <c r="K864" t="s">
        <v>1040</v>
      </c>
    </row>
    <row r="865" spans="1:11" x14ac:dyDescent="0.45">
      <c r="A865" t="s">
        <v>875</v>
      </c>
      <c r="B865" t="s">
        <v>1029</v>
      </c>
      <c r="C865">
        <v>55</v>
      </c>
      <c r="D865">
        <v>3</v>
      </c>
      <c r="E865" t="s">
        <v>1025</v>
      </c>
      <c r="F865" t="s">
        <v>1026</v>
      </c>
      <c r="G865" t="s">
        <v>1</v>
      </c>
      <c r="H865" t="s">
        <v>2</v>
      </c>
      <c r="I865" t="s">
        <v>1027</v>
      </c>
      <c r="J865" s="1">
        <v>46178</v>
      </c>
      <c r="K865" t="s">
        <v>1040</v>
      </c>
    </row>
    <row r="866" spans="1:11" x14ac:dyDescent="0.45">
      <c r="A866" t="s">
        <v>876</v>
      </c>
      <c r="B866" t="s">
        <v>1030</v>
      </c>
      <c r="C866">
        <v>44</v>
      </c>
      <c r="D866">
        <v>2</v>
      </c>
      <c r="E866" t="s">
        <v>1025</v>
      </c>
      <c r="F866" t="s">
        <v>1032</v>
      </c>
      <c r="G866" t="s">
        <v>1</v>
      </c>
      <c r="H866" t="s">
        <v>2</v>
      </c>
      <c r="I866" t="s">
        <v>1027</v>
      </c>
      <c r="J866" s="1">
        <v>46178</v>
      </c>
      <c r="K866" t="s">
        <v>1040</v>
      </c>
    </row>
    <row r="867" spans="1:11" x14ac:dyDescent="0.45">
      <c r="A867" t="s">
        <v>877</v>
      </c>
      <c r="B867" t="s">
        <v>1024</v>
      </c>
      <c r="C867">
        <v>14</v>
      </c>
      <c r="D867">
        <v>3</v>
      </c>
      <c r="E867" t="s">
        <v>1025</v>
      </c>
      <c r="F867" t="s">
        <v>1033</v>
      </c>
      <c r="G867" t="s">
        <v>1</v>
      </c>
      <c r="H867" t="s">
        <v>2</v>
      </c>
      <c r="I867" t="s">
        <v>1027</v>
      </c>
      <c r="J867" s="1">
        <v>46178</v>
      </c>
      <c r="K867" t="s">
        <v>1040</v>
      </c>
    </row>
    <row r="868" spans="1:11" x14ac:dyDescent="0.45">
      <c r="A868" t="s">
        <v>878</v>
      </c>
      <c r="B868" t="s">
        <v>1030</v>
      </c>
      <c r="C868">
        <v>33</v>
      </c>
      <c r="D868">
        <v>2</v>
      </c>
      <c r="E868" t="s">
        <v>1025</v>
      </c>
      <c r="F868" t="s">
        <v>1033</v>
      </c>
      <c r="G868" t="s">
        <v>1</v>
      </c>
      <c r="H868" t="s">
        <v>2</v>
      </c>
      <c r="I868" t="s">
        <v>1027</v>
      </c>
      <c r="J868" s="1">
        <v>46178</v>
      </c>
      <c r="K868" t="s">
        <v>1040</v>
      </c>
    </row>
    <row r="869" spans="1:11" x14ac:dyDescent="0.45">
      <c r="A869" t="s">
        <v>879</v>
      </c>
      <c r="B869" t="s">
        <v>1029</v>
      </c>
      <c r="C869">
        <v>55</v>
      </c>
      <c r="D869">
        <v>2</v>
      </c>
      <c r="E869" t="s">
        <v>1025</v>
      </c>
      <c r="F869" t="s">
        <v>1031</v>
      </c>
      <c r="G869" t="s">
        <v>1</v>
      </c>
      <c r="H869" t="s">
        <v>2</v>
      </c>
      <c r="I869" t="s">
        <v>1027</v>
      </c>
      <c r="J869" s="1">
        <v>46178</v>
      </c>
      <c r="K869" t="s">
        <v>1040</v>
      </c>
    </row>
    <row r="870" spans="1:11" x14ac:dyDescent="0.45">
      <c r="A870" t="s">
        <v>880</v>
      </c>
      <c r="B870" t="s">
        <v>1030</v>
      </c>
      <c r="C870">
        <v>34</v>
      </c>
      <c r="D870">
        <v>2</v>
      </c>
      <c r="E870" t="s">
        <v>1025</v>
      </c>
      <c r="F870" t="s">
        <v>1032</v>
      </c>
      <c r="G870" t="s">
        <v>1</v>
      </c>
      <c r="H870" t="s">
        <v>2</v>
      </c>
      <c r="I870" t="s">
        <v>1027</v>
      </c>
      <c r="J870" s="1">
        <v>46178</v>
      </c>
      <c r="K870" t="s">
        <v>1040</v>
      </c>
    </row>
    <row r="871" spans="1:11" x14ac:dyDescent="0.45">
      <c r="A871" t="s">
        <v>881</v>
      </c>
      <c r="B871" t="s">
        <v>1024</v>
      </c>
      <c r="C871">
        <v>16</v>
      </c>
      <c r="D871">
        <v>1</v>
      </c>
      <c r="E871" t="s">
        <v>1025</v>
      </c>
      <c r="F871" t="s">
        <v>1032</v>
      </c>
      <c r="G871" t="s">
        <v>1</v>
      </c>
      <c r="H871" t="s">
        <v>2</v>
      </c>
      <c r="I871" t="s">
        <v>1027</v>
      </c>
      <c r="J871" s="1">
        <v>46178</v>
      </c>
      <c r="K871" t="s">
        <v>1040</v>
      </c>
    </row>
    <row r="872" spans="1:11" x14ac:dyDescent="0.45">
      <c r="A872" t="s">
        <v>882</v>
      </c>
      <c r="B872" t="s">
        <v>1024</v>
      </c>
      <c r="C872">
        <v>19</v>
      </c>
      <c r="D872">
        <v>0</v>
      </c>
      <c r="E872" t="s">
        <v>1025</v>
      </c>
      <c r="F872" t="s">
        <v>1032</v>
      </c>
      <c r="G872" t="s">
        <v>1</v>
      </c>
      <c r="H872" t="s">
        <v>2</v>
      </c>
      <c r="I872" t="s">
        <v>1027</v>
      </c>
      <c r="J872" s="1">
        <v>46178</v>
      </c>
      <c r="K872" t="s">
        <v>1040</v>
      </c>
    </row>
    <row r="873" spans="1:11" x14ac:dyDescent="0.45">
      <c r="A873" t="s">
        <v>883</v>
      </c>
      <c r="B873" t="s">
        <v>1029</v>
      </c>
      <c r="C873">
        <v>50</v>
      </c>
      <c r="D873">
        <v>1</v>
      </c>
      <c r="E873" t="s">
        <v>1025</v>
      </c>
      <c r="F873" t="s">
        <v>1032</v>
      </c>
      <c r="G873" t="s">
        <v>1</v>
      </c>
      <c r="H873" t="s">
        <v>2</v>
      </c>
      <c r="I873" t="s">
        <v>1027</v>
      </c>
      <c r="J873" s="1">
        <v>46178</v>
      </c>
      <c r="K873" t="s">
        <v>1040</v>
      </c>
    </row>
    <row r="874" spans="1:11" x14ac:dyDescent="0.45">
      <c r="A874" t="s">
        <v>884</v>
      </c>
      <c r="B874" t="s">
        <v>1030</v>
      </c>
      <c r="C874">
        <v>38</v>
      </c>
      <c r="D874">
        <v>1</v>
      </c>
      <c r="E874" t="s">
        <v>1025</v>
      </c>
      <c r="F874" t="s">
        <v>1026</v>
      </c>
      <c r="G874" t="s">
        <v>1</v>
      </c>
      <c r="H874" t="s">
        <v>2</v>
      </c>
      <c r="I874" t="s">
        <v>1027</v>
      </c>
      <c r="J874" s="1">
        <v>46178</v>
      </c>
      <c r="K874" t="s">
        <v>1040</v>
      </c>
    </row>
    <row r="875" spans="1:11" x14ac:dyDescent="0.45">
      <c r="A875" t="s">
        <v>885</v>
      </c>
      <c r="B875" t="s">
        <v>1024</v>
      </c>
      <c r="C875">
        <v>11</v>
      </c>
      <c r="D875">
        <v>2</v>
      </c>
      <c r="E875" t="s">
        <v>1025</v>
      </c>
      <c r="F875" t="s">
        <v>1031</v>
      </c>
      <c r="G875" t="s">
        <v>1</v>
      </c>
      <c r="H875" t="s">
        <v>2</v>
      </c>
      <c r="I875" t="s">
        <v>1027</v>
      </c>
      <c r="J875" s="1">
        <v>46178</v>
      </c>
      <c r="K875" t="s">
        <v>1040</v>
      </c>
    </row>
    <row r="876" spans="1:11" x14ac:dyDescent="0.45">
      <c r="A876" t="s">
        <v>886</v>
      </c>
      <c r="B876" t="s">
        <v>1029</v>
      </c>
      <c r="C876">
        <v>54</v>
      </c>
      <c r="D876">
        <v>0</v>
      </c>
      <c r="E876" t="s">
        <v>1025</v>
      </c>
      <c r="F876" t="s">
        <v>1026</v>
      </c>
      <c r="G876" t="s">
        <v>1</v>
      </c>
      <c r="H876" t="s">
        <v>2</v>
      </c>
      <c r="I876" t="s">
        <v>1027</v>
      </c>
      <c r="J876" s="1">
        <v>46178</v>
      </c>
      <c r="K876" t="s">
        <v>1040</v>
      </c>
    </row>
    <row r="877" spans="1:11" x14ac:dyDescent="0.45">
      <c r="A877" t="s">
        <v>887</v>
      </c>
      <c r="B877" t="s">
        <v>1029</v>
      </c>
      <c r="C877">
        <v>47</v>
      </c>
      <c r="D877">
        <v>1</v>
      </c>
      <c r="E877" t="s">
        <v>1025</v>
      </c>
      <c r="F877" t="s">
        <v>1033</v>
      </c>
      <c r="G877" t="s">
        <v>1</v>
      </c>
      <c r="H877" t="s">
        <v>2</v>
      </c>
      <c r="I877" t="s">
        <v>1027</v>
      </c>
      <c r="J877" s="1">
        <v>46178</v>
      </c>
      <c r="K877" t="s">
        <v>1040</v>
      </c>
    </row>
    <row r="878" spans="1:11" x14ac:dyDescent="0.45">
      <c r="A878" t="s">
        <v>888</v>
      </c>
      <c r="B878" t="s">
        <v>1024</v>
      </c>
      <c r="C878">
        <v>22</v>
      </c>
      <c r="D878">
        <v>1</v>
      </c>
      <c r="E878" t="s">
        <v>1025</v>
      </c>
      <c r="F878" t="s">
        <v>1033</v>
      </c>
      <c r="G878" t="s">
        <v>1</v>
      </c>
      <c r="H878" t="s">
        <v>2</v>
      </c>
      <c r="I878" t="s">
        <v>1027</v>
      </c>
      <c r="J878" s="1">
        <v>46178</v>
      </c>
      <c r="K878" t="s">
        <v>1040</v>
      </c>
    </row>
    <row r="879" spans="1:11" x14ac:dyDescent="0.45">
      <c r="A879" t="s">
        <v>889</v>
      </c>
      <c r="B879" t="s">
        <v>1024</v>
      </c>
      <c r="C879">
        <v>21</v>
      </c>
      <c r="D879">
        <v>0</v>
      </c>
      <c r="E879" t="s">
        <v>1025</v>
      </c>
      <c r="F879" t="s">
        <v>1032</v>
      </c>
      <c r="G879" t="s">
        <v>1</v>
      </c>
      <c r="H879" t="s">
        <v>2</v>
      </c>
      <c r="I879" t="s">
        <v>1027</v>
      </c>
      <c r="J879" s="1">
        <v>46178</v>
      </c>
      <c r="K879" t="s">
        <v>1040</v>
      </c>
    </row>
    <row r="880" spans="1:11" x14ac:dyDescent="0.45">
      <c r="A880" t="s">
        <v>890</v>
      </c>
      <c r="B880" t="s">
        <v>1024</v>
      </c>
      <c r="C880">
        <v>23</v>
      </c>
      <c r="D880">
        <v>5</v>
      </c>
      <c r="E880" t="s">
        <v>1025</v>
      </c>
      <c r="F880" t="s">
        <v>1031</v>
      </c>
      <c r="G880" t="s">
        <v>1</v>
      </c>
      <c r="H880" t="s">
        <v>2</v>
      </c>
      <c r="I880" t="s">
        <v>1027</v>
      </c>
      <c r="J880" s="1">
        <v>46178</v>
      </c>
      <c r="K880" t="s">
        <v>1040</v>
      </c>
    </row>
    <row r="881" spans="1:11" x14ac:dyDescent="0.45">
      <c r="A881" t="s">
        <v>891</v>
      </c>
      <c r="B881" t="s">
        <v>1029</v>
      </c>
      <c r="C881">
        <v>56</v>
      </c>
      <c r="D881">
        <v>0</v>
      </c>
      <c r="E881" t="s">
        <v>1025</v>
      </c>
      <c r="F881" t="s">
        <v>1033</v>
      </c>
      <c r="G881" t="s">
        <v>1</v>
      </c>
      <c r="H881" t="s">
        <v>2</v>
      </c>
      <c r="I881" t="s">
        <v>1027</v>
      </c>
      <c r="J881" s="1">
        <v>46178</v>
      </c>
      <c r="K881" t="s">
        <v>1040</v>
      </c>
    </row>
    <row r="882" spans="1:11" x14ac:dyDescent="0.45">
      <c r="A882" t="s">
        <v>892</v>
      </c>
      <c r="B882" t="s">
        <v>1029</v>
      </c>
      <c r="C882">
        <v>60</v>
      </c>
      <c r="D882">
        <v>0</v>
      </c>
      <c r="E882" t="s">
        <v>1025</v>
      </c>
      <c r="F882" t="s">
        <v>1026</v>
      </c>
      <c r="G882" t="s">
        <v>1</v>
      </c>
      <c r="H882" t="s">
        <v>2</v>
      </c>
      <c r="I882" t="s">
        <v>1027</v>
      </c>
      <c r="J882" s="1">
        <v>46178</v>
      </c>
      <c r="K882" t="s">
        <v>1040</v>
      </c>
    </row>
    <row r="883" spans="1:11" x14ac:dyDescent="0.45">
      <c r="A883" t="s">
        <v>893</v>
      </c>
      <c r="B883" t="s">
        <v>1030</v>
      </c>
      <c r="C883">
        <v>41</v>
      </c>
      <c r="D883">
        <v>2</v>
      </c>
      <c r="E883" t="s">
        <v>1025</v>
      </c>
      <c r="F883" t="s">
        <v>1033</v>
      </c>
      <c r="G883" t="s">
        <v>1</v>
      </c>
      <c r="H883" t="s">
        <v>2</v>
      </c>
      <c r="I883" t="s">
        <v>1027</v>
      </c>
      <c r="J883" s="1">
        <v>46178</v>
      </c>
      <c r="K883" t="s">
        <v>1040</v>
      </c>
    </row>
    <row r="884" spans="1:11" x14ac:dyDescent="0.45">
      <c r="A884" t="s">
        <v>894</v>
      </c>
      <c r="B884" t="s">
        <v>1030</v>
      </c>
      <c r="C884">
        <v>30</v>
      </c>
      <c r="D884">
        <v>1</v>
      </c>
      <c r="E884" t="s">
        <v>1025</v>
      </c>
      <c r="F884" t="s">
        <v>1032</v>
      </c>
      <c r="G884" t="s">
        <v>1</v>
      </c>
      <c r="H884" t="s">
        <v>2</v>
      </c>
      <c r="I884" t="s">
        <v>1027</v>
      </c>
      <c r="J884" s="1">
        <v>46178</v>
      </c>
      <c r="K884" t="s">
        <v>1040</v>
      </c>
    </row>
    <row r="885" spans="1:11" x14ac:dyDescent="0.45">
      <c r="A885" t="s">
        <v>895</v>
      </c>
      <c r="B885" t="s">
        <v>1030</v>
      </c>
      <c r="C885">
        <v>32</v>
      </c>
      <c r="D885">
        <v>0</v>
      </c>
      <c r="E885" t="s">
        <v>1025</v>
      </c>
      <c r="F885" t="s">
        <v>1033</v>
      </c>
      <c r="G885" t="s">
        <v>1</v>
      </c>
      <c r="H885" t="s">
        <v>2</v>
      </c>
      <c r="I885" t="s">
        <v>1027</v>
      </c>
      <c r="J885" s="1">
        <v>46178</v>
      </c>
      <c r="K885" t="s">
        <v>1040</v>
      </c>
    </row>
    <row r="886" spans="1:11" x14ac:dyDescent="0.45">
      <c r="A886" t="s">
        <v>896</v>
      </c>
      <c r="B886" t="s">
        <v>1024</v>
      </c>
      <c r="C886">
        <v>12</v>
      </c>
      <c r="D886">
        <v>1</v>
      </c>
      <c r="E886" t="s">
        <v>1025</v>
      </c>
      <c r="F886" t="s">
        <v>1033</v>
      </c>
      <c r="G886" t="s">
        <v>1</v>
      </c>
      <c r="H886" t="s">
        <v>2</v>
      </c>
      <c r="I886" t="s">
        <v>1027</v>
      </c>
      <c r="J886" s="1">
        <v>46178</v>
      </c>
      <c r="K886" t="s">
        <v>1040</v>
      </c>
    </row>
    <row r="887" spans="1:11" x14ac:dyDescent="0.45">
      <c r="A887" t="s">
        <v>897</v>
      </c>
      <c r="B887" t="s">
        <v>1029</v>
      </c>
      <c r="C887">
        <v>60</v>
      </c>
      <c r="D887">
        <v>0</v>
      </c>
      <c r="E887" t="s">
        <v>1025</v>
      </c>
      <c r="F887" t="s">
        <v>1031</v>
      </c>
      <c r="G887" t="s">
        <v>1</v>
      </c>
      <c r="H887" t="s">
        <v>2</v>
      </c>
      <c r="I887" t="s">
        <v>1027</v>
      </c>
      <c r="J887" s="1">
        <v>46178</v>
      </c>
      <c r="K887" t="s">
        <v>1040</v>
      </c>
    </row>
    <row r="888" spans="1:11" x14ac:dyDescent="0.45">
      <c r="A888" t="s">
        <v>898</v>
      </c>
      <c r="B888" t="s">
        <v>1030</v>
      </c>
      <c r="C888">
        <v>31</v>
      </c>
      <c r="D888">
        <v>27</v>
      </c>
      <c r="E888" t="s">
        <v>1034</v>
      </c>
      <c r="F888" t="s">
        <v>1033</v>
      </c>
      <c r="G888" t="s">
        <v>1035</v>
      </c>
      <c r="H888" t="s">
        <v>3</v>
      </c>
      <c r="I888" t="s">
        <v>1027</v>
      </c>
      <c r="J888" s="1">
        <v>46178</v>
      </c>
      <c r="K888" t="s">
        <v>1040</v>
      </c>
    </row>
    <row r="889" spans="1:11" x14ac:dyDescent="0.45">
      <c r="A889" t="s">
        <v>899</v>
      </c>
      <c r="B889" t="s">
        <v>1029</v>
      </c>
      <c r="C889">
        <v>49</v>
      </c>
      <c r="D889">
        <v>1</v>
      </c>
      <c r="E889" t="s">
        <v>1025</v>
      </c>
      <c r="F889" t="s">
        <v>1033</v>
      </c>
      <c r="G889" t="s">
        <v>1</v>
      </c>
      <c r="H889" t="s">
        <v>2</v>
      </c>
      <c r="I889" t="s">
        <v>1027</v>
      </c>
      <c r="J889" s="1">
        <v>46178</v>
      </c>
      <c r="K889" t="s">
        <v>1040</v>
      </c>
    </row>
    <row r="890" spans="1:11" x14ac:dyDescent="0.45">
      <c r="A890" t="s">
        <v>900</v>
      </c>
      <c r="B890" t="s">
        <v>1024</v>
      </c>
      <c r="C890">
        <v>14</v>
      </c>
      <c r="D890">
        <v>1</v>
      </c>
      <c r="E890" t="s">
        <v>1025</v>
      </c>
      <c r="F890" t="s">
        <v>1032</v>
      </c>
      <c r="G890" t="s">
        <v>1</v>
      </c>
      <c r="H890" t="s">
        <v>2</v>
      </c>
      <c r="I890" t="s">
        <v>1027</v>
      </c>
      <c r="J890" s="1">
        <v>46178</v>
      </c>
      <c r="K890" t="s">
        <v>1040</v>
      </c>
    </row>
    <row r="891" spans="1:11" x14ac:dyDescent="0.45">
      <c r="A891" t="s">
        <v>901</v>
      </c>
      <c r="B891" t="s">
        <v>1030</v>
      </c>
      <c r="C891">
        <v>40</v>
      </c>
      <c r="D891">
        <v>2</v>
      </c>
      <c r="E891" t="s">
        <v>1025</v>
      </c>
      <c r="F891" t="s">
        <v>1033</v>
      </c>
      <c r="G891" t="s">
        <v>1</v>
      </c>
      <c r="H891" t="s">
        <v>2</v>
      </c>
      <c r="I891" t="s">
        <v>1027</v>
      </c>
      <c r="J891" s="1">
        <v>46178</v>
      </c>
      <c r="K891" t="s">
        <v>1040</v>
      </c>
    </row>
    <row r="892" spans="1:11" x14ac:dyDescent="0.45">
      <c r="A892" t="s">
        <v>902</v>
      </c>
      <c r="B892" t="s">
        <v>1029</v>
      </c>
      <c r="C892">
        <v>63</v>
      </c>
      <c r="D892">
        <v>1</v>
      </c>
      <c r="E892" t="s">
        <v>1025</v>
      </c>
      <c r="F892" t="s">
        <v>1033</v>
      </c>
      <c r="G892" t="s">
        <v>1</v>
      </c>
      <c r="H892" t="s">
        <v>2</v>
      </c>
      <c r="I892" t="s">
        <v>1027</v>
      </c>
      <c r="J892" s="1">
        <v>46178</v>
      </c>
      <c r="K892" t="s">
        <v>1040</v>
      </c>
    </row>
    <row r="893" spans="1:11" x14ac:dyDescent="0.45">
      <c r="A893" t="s">
        <v>903</v>
      </c>
      <c r="B893" t="s">
        <v>1024</v>
      </c>
      <c r="C893">
        <v>13</v>
      </c>
      <c r="D893">
        <v>4</v>
      </c>
      <c r="E893" t="s">
        <v>1025</v>
      </c>
      <c r="F893" t="s">
        <v>1033</v>
      </c>
      <c r="G893" t="s">
        <v>1</v>
      </c>
      <c r="H893" t="s">
        <v>2</v>
      </c>
      <c r="I893" t="s">
        <v>1027</v>
      </c>
      <c r="J893" s="1">
        <v>46178</v>
      </c>
      <c r="K893" t="s">
        <v>1040</v>
      </c>
    </row>
    <row r="894" spans="1:11" x14ac:dyDescent="0.45">
      <c r="A894" t="s">
        <v>904</v>
      </c>
      <c r="B894" t="s">
        <v>1024</v>
      </c>
      <c r="C894">
        <v>25</v>
      </c>
      <c r="D894">
        <v>1</v>
      </c>
      <c r="E894" t="s">
        <v>1025</v>
      </c>
      <c r="F894" t="s">
        <v>1031</v>
      </c>
      <c r="G894" t="s">
        <v>1</v>
      </c>
      <c r="H894" t="s">
        <v>2</v>
      </c>
      <c r="I894" t="s">
        <v>1027</v>
      </c>
      <c r="J894" s="1">
        <v>46178</v>
      </c>
      <c r="K894" t="s">
        <v>1040</v>
      </c>
    </row>
    <row r="895" spans="1:11" x14ac:dyDescent="0.45">
      <c r="A895" t="s">
        <v>905</v>
      </c>
      <c r="B895" t="s">
        <v>1030</v>
      </c>
      <c r="C895">
        <v>36</v>
      </c>
      <c r="D895">
        <v>0</v>
      </c>
      <c r="E895" t="s">
        <v>1025</v>
      </c>
      <c r="F895" t="s">
        <v>1032</v>
      </c>
      <c r="G895" t="s">
        <v>1</v>
      </c>
      <c r="H895" t="s">
        <v>2</v>
      </c>
      <c r="I895" t="s">
        <v>1027</v>
      </c>
      <c r="J895" s="1">
        <v>46178</v>
      </c>
      <c r="K895" t="s">
        <v>1040</v>
      </c>
    </row>
    <row r="896" spans="1:11" x14ac:dyDescent="0.45">
      <c r="A896" t="s">
        <v>906</v>
      </c>
      <c r="B896" t="s">
        <v>1024</v>
      </c>
      <c r="C896">
        <v>14</v>
      </c>
      <c r="D896">
        <v>0</v>
      </c>
      <c r="E896" t="s">
        <v>1025</v>
      </c>
      <c r="F896" t="s">
        <v>1031</v>
      </c>
      <c r="G896" t="s">
        <v>1</v>
      </c>
      <c r="H896" t="s">
        <v>2</v>
      </c>
      <c r="I896" t="s">
        <v>1027</v>
      </c>
      <c r="J896" s="1">
        <v>46178</v>
      </c>
      <c r="K896" t="s">
        <v>1040</v>
      </c>
    </row>
    <row r="897" spans="1:11" x14ac:dyDescent="0.45">
      <c r="A897" t="s">
        <v>907</v>
      </c>
      <c r="B897" t="s">
        <v>1029</v>
      </c>
      <c r="C897">
        <v>54</v>
      </c>
      <c r="D897">
        <v>1</v>
      </c>
      <c r="E897" t="s">
        <v>1025</v>
      </c>
      <c r="F897" t="s">
        <v>1033</v>
      </c>
      <c r="G897" t="s">
        <v>1</v>
      </c>
      <c r="H897" t="s">
        <v>2</v>
      </c>
      <c r="I897" t="s">
        <v>1027</v>
      </c>
      <c r="J897" s="1">
        <v>46178</v>
      </c>
      <c r="K897" t="s">
        <v>1040</v>
      </c>
    </row>
    <row r="898" spans="1:11" x14ac:dyDescent="0.45">
      <c r="A898" t="s">
        <v>908</v>
      </c>
      <c r="B898" t="s">
        <v>1024</v>
      </c>
      <c r="C898">
        <v>24</v>
      </c>
      <c r="D898">
        <v>2</v>
      </c>
      <c r="E898" t="s">
        <v>1025</v>
      </c>
      <c r="F898" t="s">
        <v>1033</v>
      </c>
      <c r="G898" t="s">
        <v>1</v>
      </c>
      <c r="H898" t="s">
        <v>2</v>
      </c>
      <c r="I898" t="s">
        <v>1027</v>
      </c>
      <c r="J898" s="1">
        <v>46178</v>
      </c>
      <c r="K898" t="s">
        <v>1040</v>
      </c>
    </row>
    <row r="899" spans="1:11" x14ac:dyDescent="0.45">
      <c r="A899" t="s">
        <v>909</v>
      </c>
      <c r="B899" t="s">
        <v>1030</v>
      </c>
      <c r="C899">
        <v>41</v>
      </c>
      <c r="D899">
        <v>0</v>
      </c>
      <c r="E899" t="s">
        <v>1025</v>
      </c>
      <c r="F899" t="s">
        <v>1032</v>
      </c>
      <c r="G899" t="s">
        <v>1</v>
      </c>
      <c r="H899" t="s">
        <v>2</v>
      </c>
      <c r="I899" t="s">
        <v>1027</v>
      </c>
      <c r="J899" s="1">
        <v>46178</v>
      </c>
      <c r="K899" t="s">
        <v>1040</v>
      </c>
    </row>
    <row r="900" spans="1:11" x14ac:dyDescent="0.45">
      <c r="A900" t="s">
        <v>910</v>
      </c>
      <c r="B900" t="s">
        <v>1024</v>
      </c>
      <c r="C900">
        <v>17</v>
      </c>
      <c r="D900">
        <v>4</v>
      </c>
      <c r="E900" t="s">
        <v>1025</v>
      </c>
      <c r="F900" t="s">
        <v>1026</v>
      </c>
      <c r="G900" t="s">
        <v>1</v>
      </c>
      <c r="H900" t="s">
        <v>2</v>
      </c>
      <c r="I900" t="s">
        <v>1027</v>
      </c>
      <c r="J900" s="1">
        <v>46178</v>
      </c>
      <c r="K900" t="s">
        <v>1040</v>
      </c>
    </row>
    <row r="901" spans="1:11" x14ac:dyDescent="0.45">
      <c r="A901" t="s">
        <v>911</v>
      </c>
      <c r="B901" t="s">
        <v>1029</v>
      </c>
      <c r="C901">
        <v>46</v>
      </c>
      <c r="D901">
        <v>3</v>
      </c>
      <c r="E901" t="s">
        <v>1025</v>
      </c>
      <c r="F901" t="s">
        <v>1031</v>
      </c>
      <c r="G901" t="s">
        <v>1</v>
      </c>
      <c r="H901" t="s">
        <v>2</v>
      </c>
      <c r="I901" t="s">
        <v>1027</v>
      </c>
      <c r="J901" s="1">
        <v>46178</v>
      </c>
      <c r="K901" t="s">
        <v>1040</v>
      </c>
    </row>
    <row r="902" spans="1:11" x14ac:dyDescent="0.45">
      <c r="A902" t="s">
        <v>912</v>
      </c>
      <c r="B902" t="s">
        <v>1030</v>
      </c>
      <c r="C902">
        <v>35</v>
      </c>
      <c r="D902">
        <v>1</v>
      </c>
      <c r="E902" t="s">
        <v>1025</v>
      </c>
      <c r="F902" t="s">
        <v>1026</v>
      </c>
      <c r="G902" t="s">
        <v>1</v>
      </c>
      <c r="H902" t="s">
        <v>2</v>
      </c>
      <c r="I902" t="s">
        <v>1027</v>
      </c>
      <c r="J902" s="1">
        <v>46178</v>
      </c>
      <c r="K902" t="s">
        <v>1040</v>
      </c>
    </row>
    <row r="903" spans="1:11" x14ac:dyDescent="0.45">
      <c r="A903" t="s">
        <v>913</v>
      </c>
      <c r="B903" t="s">
        <v>1030</v>
      </c>
      <c r="C903">
        <v>31</v>
      </c>
      <c r="D903">
        <v>1</v>
      </c>
      <c r="E903" t="s">
        <v>1025</v>
      </c>
      <c r="F903" t="s">
        <v>1032</v>
      </c>
      <c r="G903" t="s">
        <v>1</v>
      </c>
      <c r="H903" t="s">
        <v>2</v>
      </c>
      <c r="I903" t="s">
        <v>1027</v>
      </c>
      <c r="J903" s="1">
        <v>46178</v>
      </c>
      <c r="K903" t="s">
        <v>1040</v>
      </c>
    </row>
    <row r="904" spans="1:11" x14ac:dyDescent="0.45">
      <c r="A904" t="s">
        <v>914</v>
      </c>
      <c r="B904" t="s">
        <v>1024</v>
      </c>
      <c r="C904">
        <v>22</v>
      </c>
      <c r="D904">
        <v>1</v>
      </c>
      <c r="E904" t="s">
        <v>1025</v>
      </c>
      <c r="F904" t="s">
        <v>1032</v>
      </c>
      <c r="G904" t="s">
        <v>1</v>
      </c>
      <c r="H904" t="s">
        <v>2</v>
      </c>
      <c r="I904" t="s">
        <v>1027</v>
      </c>
      <c r="J904" s="1">
        <v>46178</v>
      </c>
      <c r="K904" t="s">
        <v>1040</v>
      </c>
    </row>
    <row r="905" spans="1:11" x14ac:dyDescent="0.45">
      <c r="A905" t="s">
        <v>915</v>
      </c>
      <c r="B905" t="s">
        <v>1030</v>
      </c>
      <c r="C905">
        <v>33</v>
      </c>
      <c r="D905">
        <v>2</v>
      </c>
      <c r="E905" t="s">
        <v>1025</v>
      </c>
      <c r="F905" t="s">
        <v>1033</v>
      </c>
      <c r="G905" t="s">
        <v>1</v>
      </c>
      <c r="H905" t="s">
        <v>2</v>
      </c>
      <c r="I905" t="s">
        <v>1027</v>
      </c>
      <c r="J905" s="1">
        <v>46178</v>
      </c>
      <c r="K905" t="s">
        <v>1040</v>
      </c>
    </row>
    <row r="906" spans="1:11" x14ac:dyDescent="0.45">
      <c r="A906" t="s">
        <v>916</v>
      </c>
      <c r="B906" t="s">
        <v>1030</v>
      </c>
      <c r="C906">
        <v>42</v>
      </c>
      <c r="D906">
        <v>2</v>
      </c>
      <c r="E906" t="s">
        <v>1025</v>
      </c>
      <c r="F906" t="s">
        <v>1031</v>
      </c>
      <c r="G906" t="s">
        <v>1</v>
      </c>
      <c r="H906" t="s">
        <v>2</v>
      </c>
      <c r="I906" t="s">
        <v>1027</v>
      </c>
      <c r="J906" s="1">
        <v>46178</v>
      </c>
      <c r="K906" t="s">
        <v>1040</v>
      </c>
    </row>
    <row r="907" spans="1:11" x14ac:dyDescent="0.45">
      <c r="A907" t="s">
        <v>917</v>
      </c>
      <c r="B907" t="s">
        <v>1030</v>
      </c>
      <c r="C907">
        <v>34</v>
      </c>
      <c r="D907">
        <v>0</v>
      </c>
      <c r="E907" t="s">
        <v>1025</v>
      </c>
      <c r="F907" t="s">
        <v>1033</v>
      </c>
      <c r="G907" t="s">
        <v>1</v>
      </c>
      <c r="H907" t="s">
        <v>2</v>
      </c>
      <c r="I907" t="s">
        <v>1027</v>
      </c>
      <c r="J907" s="1">
        <v>46178</v>
      </c>
      <c r="K907" t="s">
        <v>1040</v>
      </c>
    </row>
    <row r="908" spans="1:11" x14ac:dyDescent="0.45">
      <c r="A908" t="s">
        <v>918</v>
      </c>
      <c r="B908" t="s">
        <v>1030</v>
      </c>
      <c r="C908">
        <v>39</v>
      </c>
      <c r="D908">
        <v>1</v>
      </c>
      <c r="E908" t="s">
        <v>1025</v>
      </c>
      <c r="F908" t="s">
        <v>1032</v>
      </c>
      <c r="G908" t="s">
        <v>1</v>
      </c>
      <c r="H908" t="s">
        <v>2</v>
      </c>
      <c r="I908" t="s">
        <v>1027</v>
      </c>
      <c r="J908" s="1">
        <v>46178</v>
      </c>
      <c r="K908" t="s">
        <v>1040</v>
      </c>
    </row>
    <row r="909" spans="1:11" x14ac:dyDescent="0.45">
      <c r="A909" t="s">
        <v>919</v>
      </c>
      <c r="B909" t="s">
        <v>1029</v>
      </c>
      <c r="C909">
        <v>65</v>
      </c>
      <c r="D909">
        <v>1</v>
      </c>
      <c r="E909" t="s">
        <v>1025</v>
      </c>
      <c r="F909" t="s">
        <v>1026</v>
      </c>
      <c r="G909" t="s">
        <v>1</v>
      </c>
      <c r="H909" t="s">
        <v>2</v>
      </c>
      <c r="I909" t="s">
        <v>1027</v>
      </c>
      <c r="J909" s="1">
        <v>46178</v>
      </c>
      <c r="K909" t="s">
        <v>1040</v>
      </c>
    </row>
    <row r="910" spans="1:11" x14ac:dyDescent="0.45">
      <c r="A910" t="s">
        <v>920</v>
      </c>
      <c r="B910" t="s">
        <v>1024</v>
      </c>
      <c r="C910">
        <v>24</v>
      </c>
      <c r="D910">
        <v>0</v>
      </c>
      <c r="E910" t="s">
        <v>1025</v>
      </c>
      <c r="F910" t="s">
        <v>1026</v>
      </c>
      <c r="G910" t="s">
        <v>1</v>
      </c>
      <c r="H910" t="s">
        <v>2</v>
      </c>
      <c r="I910" t="s">
        <v>1027</v>
      </c>
      <c r="J910" s="1">
        <v>46178</v>
      </c>
      <c r="K910" t="s">
        <v>1040</v>
      </c>
    </row>
    <row r="911" spans="1:11" x14ac:dyDescent="0.45">
      <c r="A911" t="s">
        <v>921</v>
      </c>
      <c r="B911" t="s">
        <v>1030</v>
      </c>
      <c r="C911">
        <v>31</v>
      </c>
      <c r="D911">
        <v>0</v>
      </c>
      <c r="E911" t="s">
        <v>1025</v>
      </c>
      <c r="F911" t="s">
        <v>1026</v>
      </c>
      <c r="G911" t="s">
        <v>1</v>
      </c>
      <c r="H911" t="s">
        <v>2</v>
      </c>
      <c r="I911" t="s">
        <v>1027</v>
      </c>
      <c r="J911" s="1">
        <v>46178</v>
      </c>
      <c r="K911" t="s">
        <v>1040</v>
      </c>
    </row>
    <row r="912" spans="1:11" x14ac:dyDescent="0.45">
      <c r="A912" t="s">
        <v>922</v>
      </c>
      <c r="B912" t="s">
        <v>1029</v>
      </c>
      <c r="C912">
        <v>47</v>
      </c>
      <c r="D912">
        <v>0</v>
      </c>
      <c r="E912" t="s">
        <v>1025</v>
      </c>
      <c r="F912" t="s">
        <v>1031</v>
      </c>
      <c r="G912" t="s">
        <v>1</v>
      </c>
      <c r="H912" t="s">
        <v>2</v>
      </c>
      <c r="I912" t="s">
        <v>1027</v>
      </c>
      <c r="J912" s="1">
        <v>46178</v>
      </c>
      <c r="K912" t="s">
        <v>1040</v>
      </c>
    </row>
    <row r="913" spans="1:11" x14ac:dyDescent="0.45">
      <c r="A913" t="s">
        <v>923</v>
      </c>
      <c r="B913" t="s">
        <v>1024</v>
      </c>
      <c r="C913">
        <v>19</v>
      </c>
      <c r="D913">
        <v>0</v>
      </c>
      <c r="E913" t="s">
        <v>1025</v>
      </c>
      <c r="F913" t="s">
        <v>1033</v>
      </c>
      <c r="G913" t="s">
        <v>1</v>
      </c>
      <c r="H913" t="s">
        <v>2</v>
      </c>
      <c r="I913" t="s">
        <v>1027</v>
      </c>
      <c r="J913" s="1">
        <v>46178</v>
      </c>
      <c r="K913" t="s">
        <v>1040</v>
      </c>
    </row>
    <row r="914" spans="1:11" x14ac:dyDescent="0.45">
      <c r="A914" t="s">
        <v>924</v>
      </c>
      <c r="B914" t="s">
        <v>1029</v>
      </c>
      <c r="C914">
        <v>49</v>
      </c>
      <c r="D914">
        <v>29</v>
      </c>
      <c r="E914" t="s">
        <v>1034</v>
      </c>
      <c r="F914" t="s">
        <v>1026</v>
      </c>
      <c r="G914" t="s">
        <v>1035</v>
      </c>
      <c r="H914" t="s">
        <v>3</v>
      </c>
      <c r="I914" t="s">
        <v>1027</v>
      </c>
      <c r="J914" s="1">
        <v>46178</v>
      </c>
      <c r="K914" t="s">
        <v>1040</v>
      </c>
    </row>
    <row r="915" spans="1:11" x14ac:dyDescent="0.45">
      <c r="A915" t="s">
        <v>925</v>
      </c>
      <c r="B915" t="s">
        <v>1030</v>
      </c>
      <c r="C915">
        <v>47</v>
      </c>
      <c r="D915">
        <v>5</v>
      </c>
      <c r="E915" t="s">
        <v>1025</v>
      </c>
      <c r="F915" t="s">
        <v>1026</v>
      </c>
      <c r="G915" t="s">
        <v>1</v>
      </c>
      <c r="H915" t="s">
        <v>2</v>
      </c>
      <c r="I915" t="s">
        <v>1027</v>
      </c>
      <c r="J915" s="1">
        <v>46178</v>
      </c>
      <c r="K915" t="s">
        <v>1040</v>
      </c>
    </row>
    <row r="916" spans="1:11" x14ac:dyDescent="0.45">
      <c r="A916" t="s">
        <v>926</v>
      </c>
      <c r="B916" t="s">
        <v>1030</v>
      </c>
      <c r="C916">
        <v>35</v>
      </c>
      <c r="D916">
        <v>2</v>
      </c>
      <c r="E916" t="s">
        <v>1025</v>
      </c>
      <c r="F916" t="s">
        <v>1033</v>
      </c>
      <c r="G916" t="s">
        <v>1</v>
      </c>
      <c r="H916" t="s">
        <v>2</v>
      </c>
      <c r="I916" t="s">
        <v>1027</v>
      </c>
      <c r="J916" s="1">
        <v>46178</v>
      </c>
      <c r="K916" t="s">
        <v>1040</v>
      </c>
    </row>
    <row r="917" spans="1:11" x14ac:dyDescent="0.45">
      <c r="A917" t="s">
        <v>927</v>
      </c>
      <c r="B917" t="s">
        <v>1024</v>
      </c>
      <c r="C917">
        <v>22</v>
      </c>
      <c r="D917">
        <v>0</v>
      </c>
      <c r="E917" t="s">
        <v>1025</v>
      </c>
      <c r="F917" t="s">
        <v>1026</v>
      </c>
      <c r="G917" t="s">
        <v>1</v>
      </c>
      <c r="H917" t="s">
        <v>2</v>
      </c>
      <c r="I917" t="s">
        <v>1027</v>
      </c>
      <c r="J917" s="1">
        <v>46178</v>
      </c>
      <c r="K917" t="s">
        <v>1040</v>
      </c>
    </row>
    <row r="918" spans="1:11" x14ac:dyDescent="0.45">
      <c r="A918" t="s">
        <v>928</v>
      </c>
      <c r="B918" t="s">
        <v>1029</v>
      </c>
      <c r="C918">
        <v>48</v>
      </c>
      <c r="D918">
        <v>23</v>
      </c>
      <c r="E918" t="s">
        <v>1034</v>
      </c>
      <c r="F918" t="s">
        <v>1032</v>
      </c>
      <c r="G918" t="s">
        <v>1035</v>
      </c>
      <c r="H918" t="s">
        <v>3</v>
      </c>
      <c r="I918" t="s">
        <v>1027</v>
      </c>
      <c r="J918" s="1">
        <v>46178</v>
      </c>
      <c r="K918" t="s">
        <v>1040</v>
      </c>
    </row>
    <row r="919" spans="1:11" x14ac:dyDescent="0.45">
      <c r="A919" t="s">
        <v>929</v>
      </c>
      <c r="B919" t="s">
        <v>1029</v>
      </c>
      <c r="C919">
        <v>56</v>
      </c>
      <c r="D919">
        <v>4</v>
      </c>
      <c r="E919" t="s">
        <v>1025</v>
      </c>
      <c r="F919" t="s">
        <v>1031</v>
      </c>
      <c r="G919" t="s">
        <v>1</v>
      </c>
      <c r="H919" t="s">
        <v>2</v>
      </c>
      <c r="I919" t="s">
        <v>1027</v>
      </c>
      <c r="J919" s="1">
        <v>46178</v>
      </c>
      <c r="K919" t="s">
        <v>1040</v>
      </c>
    </row>
    <row r="920" spans="1:11" x14ac:dyDescent="0.45">
      <c r="A920" t="s">
        <v>930</v>
      </c>
      <c r="B920" t="s">
        <v>1029</v>
      </c>
      <c r="C920">
        <v>54</v>
      </c>
      <c r="D920">
        <v>3</v>
      </c>
      <c r="E920" t="s">
        <v>1025</v>
      </c>
      <c r="F920" t="s">
        <v>1026</v>
      </c>
      <c r="G920" t="s">
        <v>1</v>
      </c>
      <c r="H920" t="s">
        <v>2</v>
      </c>
      <c r="I920" t="s">
        <v>1027</v>
      </c>
      <c r="J920" s="1">
        <v>46178</v>
      </c>
      <c r="K920" t="s">
        <v>1040</v>
      </c>
    </row>
    <row r="921" spans="1:11" x14ac:dyDescent="0.45">
      <c r="A921" t="s">
        <v>931</v>
      </c>
      <c r="B921" t="s">
        <v>1030</v>
      </c>
      <c r="C921">
        <v>41</v>
      </c>
      <c r="D921">
        <v>0</v>
      </c>
      <c r="E921" t="s">
        <v>1025</v>
      </c>
      <c r="F921" t="s">
        <v>1026</v>
      </c>
      <c r="G921" t="s">
        <v>1</v>
      </c>
      <c r="H921" t="s">
        <v>2</v>
      </c>
      <c r="I921" t="s">
        <v>1027</v>
      </c>
      <c r="J921" s="1">
        <v>46178</v>
      </c>
      <c r="K921" t="s">
        <v>1040</v>
      </c>
    </row>
    <row r="922" spans="1:11" x14ac:dyDescent="0.45">
      <c r="A922" t="s">
        <v>932</v>
      </c>
      <c r="B922" t="s">
        <v>1024</v>
      </c>
      <c r="C922">
        <v>16</v>
      </c>
      <c r="D922">
        <v>2</v>
      </c>
      <c r="E922" t="s">
        <v>1025</v>
      </c>
      <c r="F922" t="s">
        <v>1026</v>
      </c>
      <c r="G922" t="s">
        <v>1</v>
      </c>
      <c r="H922" t="s">
        <v>2</v>
      </c>
      <c r="I922" t="s">
        <v>1027</v>
      </c>
      <c r="J922" s="1">
        <v>46178</v>
      </c>
      <c r="K922" t="s">
        <v>1040</v>
      </c>
    </row>
    <row r="923" spans="1:11" x14ac:dyDescent="0.45">
      <c r="A923" t="s">
        <v>933</v>
      </c>
      <c r="B923" t="s">
        <v>1029</v>
      </c>
      <c r="C923">
        <v>60</v>
      </c>
      <c r="D923">
        <v>4</v>
      </c>
      <c r="E923" t="s">
        <v>1025</v>
      </c>
      <c r="F923" t="s">
        <v>1032</v>
      </c>
      <c r="G923" t="s">
        <v>1</v>
      </c>
      <c r="H923" t="s">
        <v>2</v>
      </c>
      <c r="I923" t="s">
        <v>1027</v>
      </c>
      <c r="J923" s="1">
        <v>46178</v>
      </c>
      <c r="K923" t="s">
        <v>1040</v>
      </c>
    </row>
    <row r="924" spans="1:11" x14ac:dyDescent="0.45">
      <c r="A924" t="s">
        <v>934</v>
      </c>
      <c r="B924" t="s">
        <v>1030</v>
      </c>
      <c r="C924">
        <v>39</v>
      </c>
      <c r="D924">
        <v>19</v>
      </c>
      <c r="E924" t="s">
        <v>1034</v>
      </c>
      <c r="F924" t="s">
        <v>1026</v>
      </c>
      <c r="G924" t="s">
        <v>1035</v>
      </c>
      <c r="H924" t="s">
        <v>3</v>
      </c>
      <c r="I924" t="s">
        <v>1027</v>
      </c>
      <c r="J924" s="1">
        <v>46178</v>
      </c>
      <c r="K924" t="s">
        <v>1040</v>
      </c>
    </row>
    <row r="925" spans="1:11" x14ac:dyDescent="0.45">
      <c r="A925" t="s">
        <v>935</v>
      </c>
      <c r="B925" t="s">
        <v>1029</v>
      </c>
      <c r="C925">
        <v>63</v>
      </c>
      <c r="D925">
        <v>0</v>
      </c>
      <c r="E925" t="s">
        <v>1025</v>
      </c>
      <c r="F925" t="s">
        <v>1031</v>
      </c>
      <c r="G925" t="s">
        <v>1</v>
      </c>
      <c r="H925" t="s">
        <v>2</v>
      </c>
      <c r="I925" t="s">
        <v>1027</v>
      </c>
      <c r="J925" s="1">
        <v>46178</v>
      </c>
      <c r="K925" t="s">
        <v>1040</v>
      </c>
    </row>
    <row r="926" spans="1:11" x14ac:dyDescent="0.45">
      <c r="A926" t="s">
        <v>936</v>
      </c>
      <c r="B926" t="s">
        <v>1024</v>
      </c>
      <c r="C926">
        <v>17</v>
      </c>
      <c r="D926">
        <v>5</v>
      </c>
      <c r="E926" t="s">
        <v>1025</v>
      </c>
      <c r="F926" t="s">
        <v>1031</v>
      </c>
      <c r="G926" t="s">
        <v>1</v>
      </c>
      <c r="H926" t="s">
        <v>2</v>
      </c>
      <c r="I926" t="s">
        <v>1027</v>
      </c>
      <c r="J926" s="1">
        <v>46178</v>
      </c>
      <c r="K926" t="s">
        <v>1040</v>
      </c>
    </row>
    <row r="927" spans="1:11" x14ac:dyDescent="0.45">
      <c r="A927" t="s">
        <v>937</v>
      </c>
      <c r="B927" t="s">
        <v>1029</v>
      </c>
      <c r="C927">
        <v>62</v>
      </c>
      <c r="D927">
        <v>1</v>
      </c>
      <c r="E927" t="s">
        <v>1025</v>
      </c>
      <c r="F927" t="s">
        <v>1033</v>
      </c>
      <c r="G927" t="s">
        <v>1</v>
      </c>
      <c r="H927" t="s">
        <v>2</v>
      </c>
      <c r="I927" t="s">
        <v>1027</v>
      </c>
      <c r="J927" s="1">
        <v>46178</v>
      </c>
      <c r="K927" t="s">
        <v>1040</v>
      </c>
    </row>
    <row r="928" spans="1:11" x14ac:dyDescent="0.45">
      <c r="A928" t="s">
        <v>938</v>
      </c>
      <c r="B928" t="s">
        <v>1030</v>
      </c>
      <c r="C928">
        <v>45</v>
      </c>
      <c r="D928">
        <v>1</v>
      </c>
      <c r="E928" t="s">
        <v>1025</v>
      </c>
      <c r="F928" t="s">
        <v>1026</v>
      </c>
      <c r="G928" t="s">
        <v>1</v>
      </c>
      <c r="H928" t="s">
        <v>2</v>
      </c>
      <c r="I928" t="s">
        <v>1027</v>
      </c>
      <c r="J928" s="1">
        <v>46178</v>
      </c>
      <c r="K928" t="s">
        <v>1040</v>
      </c>
    </row>
    <row r="929" spans="1:11" x14ac:dyDescent="0.45">
      <c r="A929" t="s">
        <v>939</v>
      </c>
      <c r="B929" t="s">
        <v>1024</v>
      </c>
      <c r="C929">
        <v>14</v>
      </c>
      <c r="D929">
        <v>3</v>
      </c>
      <c r="E929" t="s">
        <v>1025</v>
      </c>
      <c r="F929" t="s">
        <v>1033</v>
      </c>
      <c r="G929" t="s">
        <v>1</v>
      </c>
      <c r="H929" t="s">
        <v>2</v>
      </c>
      <c r="I929" t="s">
        <v>1027</v>
      </c>
      <c r="J929" s="1">
        <v>46178</v>
      </c>
      <c r="K929" t="s">
        <v>1040</v>
      </c>
    </row>
    <row r="930" spans="1:11" x14ac:dyDescent="0.45">
      <c r="A930" t="s">
        <v>940</v>
      </c>
      <c r="B930" t="s">
        <v>1030</v>
      </c>
      <c r="C930">
        <v>46</v>
      </c>
      <c r="D930">
        <v>3</v>
      </c>
      <c r="E930" t="s">
        <v>1025</v>
      </c>
      <c r="F930" t="s">
        <v>1032</v>
      </c>
      <c r="G930" t="s">
        <v>1</v>
      </c>
      <c r="H930" t="s">
        <v>2</v>
      </c>
      <c r="I930" t="s">
        <v>1027</v>
      </c>
      <c r="J930" s="1">
        <v>46178</v>
      </c>
      <c r="K930" t="s">
        <v>1040</v>
      </c>
    </row>
    <row r="931" spans="1:11" x14ac:dyDescent="0.45">
      <c r="A931" t="s">
        <v>941</v>
      </c>
      <c r="B931" t="s">
        <v>1024</v>
      </c>
      <c r="C931">
        <v>22</v>
      </c>
      <c r="D931">
        <v>1</v>
      </c>
      <c r="E931" t="s">
        <v>1025</v>
      </c>
      <c r="F931" t="s">
        <v>1032</v>
      </c>
      <c r="G931" t="s">
        <v>1</v>
      </c>
      <c r="H931" t="s">
        <v>2</v>
      </c>
      <c r="I931" t="s">
        <v>1027</v>
      </c>
      <c r="J931" s="1">
        <v>46178</v>
      </c>
      <c r="K931" t="s">
        <v>1040</v>
      </c>
    </row>
    <row r="932" spans="1:11" x14ac:dyDescent="0.45">
      <c r="A932" t="s">
        <v>942</v>
      </c>
      <c r="B932" t="s">
        <v>1024</v>
      </c>
      <c r="C932">
        <v>13</v>
      </c>
      <c r="D932">
        <v>1</v>
      </c>
      <c r="E932" t="s">
        <v>1025</v>
      </c>
      <c r="F932" t="s">
        <v>1031</v>
      </c>
      <c r="G932" t="s">
        <v>1</v>
      </c>
      <c r="H932" t="s">
        <v>2</v>
      </c>
      <c r="I932" t="s">
        <v>1027</v>
      </c>
      <c r="J932" s="1">
        <v>46178</v>
      </c>
      <c r="K932" t="s">
        <v>1040</v>
      </c>
    </row>
    <row r="933" spans="1:11" x14ac:dyDescent="0.45">
      <c r="A933" t="s">
        <v>943</v>
      </c>
      <c r="B933" t="s">
        <v>1029</v>
      </c>
      <c r="C933">
        <v>53</v>
      </c>
      <c r="D933">
        <v>2</v>
      </c>
      <c r="E933" t="s">
        <v>1025</v>
      </c>
      <c r="F933" t="s">
        <v>1033</v>
      </c>
      <c r="G933" t="s">
        <v>1</v>
      </c>
      <c r="H933" t="s">
        <v>2</v>
      </c>
      <c r="I933" t="s">
        <v>1027</v>
      </c>
      <c r="J933" s="1">
        <v>46178</v>
      </c>
      <c r="K933" t="s">
        <v>1040</v>
      </c>
    </row>
    <row r="934" spans="1:11" x14ac:dyDescent="0.45">
      <c r="A934" t="s">
        <v>944</v>
      </c>
      <c r="B934" t="s">
        <v>1024</v>
      </c>
      <c r="C934">
        <v>11</v>
      </c>
      <c r="D934">
        <v>1</v>
      </c>
      <c r="E934" t="s">
        <v>1025</v>
      </c>
      <c r="F934" t="s">
        <v>1031</v>
      </c>
      <c r="G934" t="s">
        <v>1</v>
      </c>
      <c r="H934" t="s">
        <v>2</v>
      </c>
      <c r="I934" t="s">
        <v>1027</v>
      </c>
      <c r="J934" s="1">
        <v>46178</v>
      </c>
      <c r="K934" t="s">
        <v>1040</v>
      </c>
    </row>
    <row r="935" spans="1:11" x14ac:dyDescent="0.45">
      <c r="A935" t="s">
        <v>945</v>
      </c>
      <c r="B935" t="s">
        <v>1029</v>
      </c>
      <c r="C935">
        <v>54</v>
      </c>
      <c r="D935">
        <v>1</v>
      </c>
      <c r="E935" t="s">
        <v>1025</v>
      </c>
      <c r="F935" t="s">
        <v>1032</v>
      </c>
      <c r="G935" t="s">
        <v>1</v>
      </c>
      <c r="H935" t="s">
        <v>2</v>
      </c>
      <c r="I935" t="s">
        <v>1027</v>
      </c>
      <c r="J935" s="1">
        <v>46178</v>
      </c>
      <c r="K935" t="s">
        <v>1040</v>
      </c>
    </row>
    <row r="936" spans="1:11" x14ac:dyDescent="0.45">
      <c r="A936" t="s">
        <v>946</v>
      </c>
      <c r="B936" t="s">
        <v>1029</v>
      </c>
      <c r="C936">
        <v>47</v>
      </c>
      <c r="D936">
        <v>19</v>
      </c>
      <c r="E936" t="s">
        <v>1034</v>
      </c>
      <c r="F936" t="s">
        <v>1033</v>
      </c>
      <c r="G936" t="s">
        <v>1035</v>
      </c>
      <c r="H936" t="s">
        <v>3</v>
      </c>
      <c r="I936" t="s">
        <v>1027</v>
      </c>
      <c r="J936" s="1">
        <v>46178</v>
      </c>
      <c r="K936" t="s">
        <v>1040</v>
      </c>
    </row>
    <row r="937" spans="1:11" x14ac:dyDescent="0.45">
      <c r="A937" t="s">
        <v>947</v>
      </c>
      <c r="B937" t="s">
        <v>1030</v>
      </c>
      <c r="C937">
        <v>34</v>
      </c>
      <c r="D937">
        <v>0</v>
      </c>
      <c r="E937" t="s">
        <v>1025</v>
      </c>
      <c r="F937" t="s">
        <v>1026</v>
      </c>
      <c r="G937" t="s">
        <v>1</v>
      </c>
      <c r="H937" t="s">
        <v>2</v>
      </c>
      <c r="I937" t="s">
        <v>1027</v>
      </c>
      <c r="J937" s="1">
        <v>46178</v>
      </c>
      <c r="K937" t="s">
        <v>1040</v>
      </c>
    </row>
    <row r="938" spans="1:11" x14ac:dyDescent="0.45">
      <c r="A938" t="s">
        <v>948</v>
      </c>
      <c r="B938" t="s">
        <v>1030</v>
      </c>
      <c r="C938">
        <v>39</v>
      </c>
      <c r="D938">
        <v>0</v>
      </c>
      <c r="E938" t="s">
        <v>1025</v>
      </c>
      <c r="F938" t="s">
        <v>1026</v>
      </c>
      <c r="G938" t="s">
        <v>1</v>
      </c>
      <c r="H938" t="s">
        <v>2</v>
      </c>
      <c r="I938" t="s">
        <v>1027</v>
      </c>
      <c r="J938" s="1">
        <v>46178</v>
      </c>
      <c r="K938" t="s">
        <v>1040</v>
      </c>
    </row>
    <row r="939" spans="1:11" x14ac:dyDescent="0.45">
      <c r="A939" t="s">
        <v>949</v>
      </c>
      <c r="B939" t="s">
        <v>1030</v>
      </c>
      <c r="C939">
        <v>42</v>
      </c>
      <c r="D939">
        <v>0</v>
      </c>
      <c r="E939" t="s">
        <v>1025</v>
      </c>
      <c r="F939" t="s">
        <v>1031</v>
      </c>
      <c r="G939" t="s">
        <v>1</v>
      </c>
      <c r="H939" t="s">
        <v>2</v>
      </c>
      <c r="I939" t="s">
        <v>1027</v>
      </c>
      <c r="J939" s="1">
        <v>46178</v>
      </c>
      <c r="K939" t="s">
        <v>1040</v>
      </c>
    </row>
    <row r="940" spans="1:11" x14ac:dyDescent="0.45">
      <c r="A940" t="s">
        <v>950</v>
      </c>
      <c r="B940" t="s">
        <v>1024</v>
      </c>
      <c r="C940">
        <v>14</v>
      </c>
      <c r="D940">
        <v>31</v>
      </c>
      <c r="E940" t="s">
        <v>1034</v>
      </c>
      <c r="F940" t="s">
        <v>1032</v>
      </c>
      <c r="G940" t="s">
        <v>1035</v>
      </c>
      <c r="H940" t="s">
        <v>3</v>
      </c>
      <c r="I940" t="s">
        <v>1027</v>
      </c>
      <c r="J940" s="1">
        <v>46178</v>
      </c>
      <c r="K940" t="s">
        <v>1040</v>
      </c>
    </row>
    <row r="941" spans="1:11" x14ac:dyDescent="0.45">
      <c r="A941" t="s">
        <v>951</v>
      </c>
      <c r="B941" t="s">
        <v>1030</v>
      </c>
      <c r="C941">
        <v>45</v>
      </c>
      <c r="D941">
        <v>0</v>
      </c>
      <c r="E941" t="s">
        <v>1025</v>
      </c>
      <c r="F941" t="s">
        <v>1033</v>
      </c>
      <c r="G941" t="s">
        <v>1</v>
      </c>
      <c r="H941" t="s">
        <v>2</v>
      </c>
      <c r="I941" t="s">
        <v>1027</v>
      </c>
      <c r="J941" s="1">
        <v>46178</v>
      </c>
      <c r="K941" t="s">
        <v>1040</v>
      </c>
    </row>
    <row r="942" spans="1:11" x14ac:dyDescent="0.45">
      <c r="A942" t="s">
        <v>952</v>
      </c>
      <c r="B942" t="s">
        <v>1024</v>
      </c>
      <c r="C942">
        <v>17</v>
      </c>
      <c r="D942">
        <v>0</v>
      </c>
      <c r="E942" t="s">
        <v>1025</v>
      </c>
      <c r="F942" t="s">
        <v>1026</v>
      </c>
      <c r="G942" t="s">
        <v>1</v>
      </c>
      <c r="H942" t="s">
        <v>2</v>
      </c>
      <c r="I942" t="s">
        <v>1027</v>
      </c>
      <c r="J942" s="1">
        <v>46178</v>
      </c>
      <c r="K942" t="s">
        <v>1040</v>
      </c>
    </row>
    <row r="943" spans="1:11" x14ac:dyDescent="0.45">
      <c r="A943" t="s">
        <v>953</v>
      </c>
      <c r="B943" t="s">
        <v>1030</v>
      </c>
      <c r="C943">
        <v>46</v>
      </c>
      <c r="D943">
        <v>0</v>
      </c>
      <c r="E943" t="s">
        <v>1025</v>
      </c>
      <c r="F943" t="s">
        <v>1032</v>
      </c>
      <c r="G943" t="s">
        <v>1</v>
      </c>
      <c r="H943" t="s">
        <v>2</v>
      </c>
      <c r="I943" t="s">
        <v>1027</v>
      </c>
      <c r="J943" s="1">
        <v>46178</v>
      </c>
      <c r="K943" t="s">
        <v>1040</v>
      </c>
    </row>
    <row r="944" spans="1:11" x14ac:dyDescent="0.45">
      <c r="A944" t="s">
        <v>954</v>
      </c>
      <c r="B944" t="s">
        <v>1029</v>
      </c>
      <c r="C944">
        <v>48</v>
      </c>
      <c r="D944">
        <v>1</v>
      </c>
      <c r="E944" t="s">
        <v>1025</v>
      </c>
      <c r="F944" t="s">
        <v>1032</v>
      </c>
      <c r="G944" t="s">
        <v>1</v>
      </c>
      <c r="H944" t="s">
        <v>2</v>
      </c>
      <c r="I944" t="s">
        <v>1027</v>
      </c>
      <c r="J944" s="1">
        <v>46178</v>
      </c>
      <c r="K944" t="s">
        <v>1040</v>
      </c>
    </row>
    <row r="945" spans="1:11" x14ac:dyDescent="0.45">
      <c r="A945" t="s">
        <v>955</v>
      </c>
      <c r="B945" t="s">
        <v>1030</v>
      </c>
      <c r="C945">
        <v>47</v>
      </c>
      <c r="D945">
        <v>0</v>
      </c>
      <c r="E945" t="s">
        <v>1025</v>
      </c>
      <c r="F945" t="s">
        <v>1032</v>
      </c>
      <c r="G945" t="s">
        <v>1</v>
      </c>
      <c r="H945" t="s">
        <v>2</v>
      </c>
      <c r="I945" t="s">
        <v>1027</v>
      </c>
      <c r="J945" s="1">
        <v>46178</v>
      </c>
      <c r="K945" t="s">
        <v>1040</v>
      </c>
    </row>
    <row r="946" spans="1:11" x14ac:dyDescent="0.45">
      <c r="A946" t="s">
        <v>956</v>
      </c>
      <c r="B946" t="s">
        <v>1029</v>
      </c>
      <c r="C946">
        <v>47</v>
      </c>
      <c r="D946">
        <v>1</v>
      </c>
      <c r="E946" t="s">
        <v>1025</v>
      </c>
      <c r="F946" t="s">
        <v>1031</v>
      </c>
      <c r="G946" t="s">
        <v>1</v>
      </c>
      <c r="H946" t="s">
        <v>2</v>
      </c>
      <c r="I946" t="s">
        <v>1027</v>
      </c>
      <c r="J946" s="1">
        <v>46178</v>
      </c>
      <c r="K946" t="s">
        <v>1040</v>
      </c>
    </row>
    <row r="947" spans="1:11" x14ac:dyDescent="0.45">
      <c r="A947" t="s">
        <v>957</v>
      </c>
      <c r="B947" t="s">
        <v>1024</v>
      </c>
      <c r="C947">
        <v>11</v>
      </c>
      <c r="D947">
        <v>0</v>
      </c>
      <c r="E947" t="s">
        <v>1025</v>
      </c>
      <c r="F947" t="s">
        <v>1026</v>
      </c>
      <c r="G947" t="s">
        <v>1</v>
      </c>
      <c r="H947" t="s">
        <v>2</v>
      </c>
      <c r="I947" t="s">
        <v>1027</v>
      </c>
      <c r="J947" s="1">
        <v>46178</v>
      </c>
      <c r="K947" t="s">
        <v>1040</v>
      </c>
    </row>
    <row r="948" spans="1:11" x14ac:dyDescent="0.45">
      <c r="A948" t="s">
        <v>958</v>
      </c>
      <c r="B948" t="s">
        <v>1024</v>
      </c>
      <c r="C948">
        <v>10</v>
      </c>
      <c r="D948">
        <v>0</v>
      </c>
      <c r="E948" t="s">
        <v>1025</v>
      </c>
      <c r="F948" t="s">
        <v>1032</v>
      </c>
      <c r="G948" t="s">
        <v>1</v>
      </c>
      <c r="H948" t="s">
        <v>2</v>
      </c>
      <c r="I948" t="s">
        <v>1027</v>
      </c>
      <c r="J948" s="1">
        <v>46178</v>
      </c>
      <c r="K948" t="s">
        <v>1040</v>
      </c>
    </row>
    <row r="949" spans="1:11" x14ac:dyDescent="0.45">
      <c r="A949" t="s">
        <v>959</v>
      </c>
      <c r="B949" t="s">
        <v>1029</v>
      </c>
      <c r="C949">
        <v>47</v>
      </c>
      <c r="D949">
        <v>1</v>
      </c>
      <c r="E949" t="s">
        <v>1025</v>
      </c>
      <c r="F949" t="s">
        <v>1026</v>
      </c>
      <c r="G949" t="s">
        <v>1</v>
      </c>
      <c r="H949" t="s">
        <v>2</v>
      </c>
      <c r="I949" t="s">
        <v>1027</v>
      </c>
      <c r="J949" s="1">
        <v>46178</v>
      </c>
      <c r="K949" t="s">
        <v>1040</v>
      </c>
    </row>
    <row r="950" spans="1:11" x14ac:dyDescent="0.45">
      <c r="A950" t="s">
        <v>960</v>
      </c>
      <c r="B950" t="s">
        <v>1029</v>
      </c>
      <c r="C950">
        <v>62</v>
      </c>
      <c r="D950">
        <v>0</v>
      </c>
      <c r="E950" t="s">
        <v>1025</v>
      </c>
      <c r="F950" t="s">
        <v>1033</v>
      </c>
      <c r="G950" t="s">
        <v>1</v>
      </c>
      <c r="H950" t="s">
        <v>2</v>
      </c>
      <c r="I950" t="s">
        <v>1027</v>
      </c>
      <c r="J950" s="1">
        <v>46178</v>
      </c>
      <c r="K950" t="s">
        <v>1040</v>
      </c>
    </row>
    <row r="951" spans="1:11" x14ac:dyDescent="0.45">
      <c r="A951" t="s">
        <v>961</v>
      </c>
      <c r="B951" t="s">
        <v>1024</v>
      </c>
      <c r="C951">
        <v>11</v>
      </c>
      <c r="D951">
        <v>0</v>
      </c>
      <c r="E951" t="s">
        <v>1025</v>
      </c>
      <c r="F951" t="s">
        <v>1032</v>
      </c>
      <c r="G951" t="s">
        <v>1</v>
      </c>
      <c r="H951" t="s">
        <v>2</v>
      </c>
      <c r="I951" t="s">
        <v>1027</v>
      </c>
      <c r="J951" s="1">
        <v>46178</v>
      </c>
      <c r="K951" t="s">
        <v>1040</v>
      </c>
    </row>
    <row r="952" spans="1:11" x14ac:dyDescent="0.45">
      <c r="A952" t="s">
        <v>962</v>
      </c>
      <c r="B952" t="s">
        <v>1024</v>
      </c>
      <c r="C952">
        <v>13</v>
      </c>
      <c r="D952">
        <v>2</v>
      </c>
      <c r="E952" t="s">
        <v>1025</v>
      </c>
      <c r="F952" t="s">
        <v>1026</v>
      </c>
      <c r="G952" t="s">
        <v>1</v>
      </c>
      <c r="H952" t="s">
        <v>2</v>
      </c>
      <c r="I952" t="s">
        <v>1027</v>
      </c>
      <c r="J952" s="1">
        <v>46178</v>
      </c>
      <c r="K952" t="s">
        <v>1040</v>
      </c>
    </row>
    <row r="953" spans="1:11" x14ac:dyDescent="0.45">
      <c r="A953" t="s">
        <v>963</v>
      </c>
      <c r="B953" t="s">
        <v>1024</v>
      </c>
      <c r="C953">
        <v>16</v>
      </c>
      <c r="D953">
        <v>2</v>
      </c>
      <c r="E953" t="s">
        <v>1025</v>
      </c>
      <c r="F953" t="s">
        <v>1026</v>
      </c>
      <c r="G953" t="s">
        <v>1</v>
      </c>
      <c r="H953" t="s">
        <v>2</v>
      </c>
      <c r="I953" t="s">
        <v>1027</v>
      </c>
      <c r="J953" s="1">
        <v>46178</v>
      </c>
      <c r="K953" t="s">
        <v>1040</v>
      </c>
    </row>
    <row r="954" spans="1:11" x14ac:dyDescent="0.45">
      <c r="A954" t="s">
        <v>964</v>
      </c>
      <c r="B954" t="s">
        <v>1029</v>
      </c>
      <c r="C954">
        <v>49</v>
      </c>
      <c r="D954">
        <v>1</v>
      </c>
      <c r="E954" t="s">
        <v>1025</v>
      </c>
      <c r="F954" t="s">
        <v>1032</v>
      </c>
      <c r="G954" t="s">
        <v>1</v>
      </c>
      <c r="H954" t="s">
        <v>2</v>
      </c>
      <c r="I954" t="s">
        <v>1027</v>
      </c>
      <c r="J954" s="1">
        <v>46178</v>
      </c>
      <c r="K954" t="s">
        <v>1040</v>
      </c>
    </row>
    <row r="955" spans="1:11" x14ac:dyDescent="0.45">
      <c r="A955" t="s">
        <v>965</v>
      </c>
      <c r="B955" t="s">
        <v>1030</v>
      </c>
      <c r="C955">
        <v>48</v>
      </c>
      <c r="D955">
        <v>0</v>
      </c>
      <c r="E955" t="s">
        <v>1025</v>
      </c>
      <c r="F955" t="s">
        <v>1032</v>
      </c>
      <c r="G955" t="s">
        <v>1</v>
      </c>
      <c r="H955" t="s">
        <v>2</v>
      </c>
      <c r="I955" t="s">
        <v>1027</v>
      </c>
      <c r="J955" s="1">
        <v>46178</v>
      </c>
      <c r="K955" t="s">
        <v>1040</v>
      </c>
    </row>
    <row r="956" spans="1:11" x14ac:dyDescent="0.45">
      <c r="A956" t="s">
        <v>966</v>
      </c>
      <c r="B956" t="s">
        <v>1030</v>
      </c>
      <c r="C956">
        <v>40</v>
      </c>
      <c r="D956">
        <v>1</v>
      </c>
      <c r="E956" t="s">
        <v>1025</v>
      </c>
      <c r="F956" t="s">
        <v>1026</v>
      </c>
      <c r="G956" t="s">
        <v>1</v>
      </c>
      <c r="H956" t="s">
        <v>2</v>
      </c>
      <c r="I956" t="s">
        <v>1027</v>
      </c>
      <c r="J956" s="1">
        <v>46178</v>
      </c>
      <c r="K956" t="s">
        <v>1040</v>
      </c>
    </row>
    <row r="957" spans="1:11" x14ac:dyDescent="0.45">
      <c r="A957" t="s">
        <v>967</v>
      </c>
      <c r="B957" t="s">
        <v>1030</v>
      </c>
      <c r="C957">
        <v>44</v>
      </c>
      <c r="D957">
        <v>0</v>
      </c>
      <c r="E957" t="s">
        <v>1025</v>
      </c>
      <c r="F957" t="s">
        <v>1031</v>
      </c>
      <c r="G957" t="s">
        <v>1</v>
      </c>
      <c r="H957" t="s">
        <v>2</v>
      </c>
      <c r="I957" t="s">
        <v>1027</v>
      </c>
      <c r="J957" s="1">
        <v>46178</v>
      </c>
      <c r="K957" t="s">
        <v>1040</v>
      </c>
    </row>
    <row r="958" spans="1:11" x14ac:dyDescent="0.45">
      <c r="A958" t="s">
        <v>968</v>
      </c>
      <c r="B958" t="s">
        <v>1029</v>
      </c>
      <c r="C958">
        <v>47</v>
      </c>
      <c r="D958">
        <v>1</v>
      </c>
      <c r="E958" t="s">
        <v>1025</v>
      </c>
      <c r="F958" t="s">
        <v>1031</v>
      </c>
      <c r="G958" t="s">
        <v>1</v>
      </c>
      <c r="H958" t="s">
        <v>2</v>
      </c>
      <c r="I958" t="s">
        <v>1027</v>
      </c>
      <c r="J958" s="1">
        <v>46178</v>
      </c>
      <c r="K958" t="s">
        <v>1040</v>
      </c>
    </row>
    <row r="959" spans="1:11" x14ac:dyDescent="0.45">
      <c r="A959" t="s">
        <v>969</v>
      </c>
      <c r="B959" t="s">
        <v>1029</v>
      </c>
      <c r="C959">
        <v>59</v>
      </c>
      <c r="D959">
        <v>1</v>
      </c>
      <c r="E959" t="s">
        <v>1025</v>
      </c>
      <c r="F959" t="s">
        <v>1031</v>
      </c>
      <c r="G959" t="s">
        <v>1</v>
      </c>
      <c r="H959" t="s">
        <v>2</v>
      </c>
      <c r="I959" t="s">
        <v>1027</v>
      </c>
      <c r="J959" s="1">
        <v>46178</v>
      </c>
      <c r="K959" t="s">
        <v>1040</v>
      </c>
    </row>
    <row r="960" spans="1:11" x14ac:dyDescent="0.45">
      <c r="A960" t="s">
        <v>970</v>
      </c>
      <c r="B960" t="s">
        <v>1029</v>
      </c>
      <c r="C960">
        <v>63</v>
      </c>
      <c r="D960">
        <v>2</v>
      </c>
      <c r="E960" t="s">
        <v>1025</v>
      </c>
      <c r="F960" t="s">
        <v>1032</v>
      </c>
      <c r="G960" t="s">
        <v>1</v>
      </c>
      <c r="H960" t="s">
        <v>2</v>
      </c>
      <c r="I960" t="s">
        <v>1027</v>
      </c>
      <c r="J960" s="1">
        <v>46178</v>
      </c>
      <c r="K960" t="s">
        <v>1040</v>
      </c>
    </row>
    <row r="961" spans="1:11" x14ac:dyDescent="0.45">
      <c r="A961" t="s">
        <v>971</v>
      </c>
      <c r="B961" t="s">
        <v>1030</v>
      </c>
      <c r="C961">
        <v>34</v>
      </c>
      <c r="D961">
        <v>1</v>
      </c>
      <c r="E961" t="s">
        <v>1025</v>
      </c>
      <c r="F961" t="s">
        <v>1026</v>
      </c>
      <c r="G961" t="s">
        <v>1</v>
      </c>
      <c r="H961" t="s">
        <v>2</v>
      </c>
      <c r="I961" t="s">
        <v>1027</v>
      </c>
      <c r="J961" s="1">
        <v>46178</v>
      </c>
      <c r="K961" t="s">
        <v>1040</v>
      </c>
    </row>
    <row r="962" spans="1:11" x14ac:dyDescent="0.45">
      <c r="A962" t="s">
        <v>972</v>
      </c>
      <c r="B962" t="s">
        <v>1024</v>
      </c>
      <c r="C962">
        <v>14</v>
      </c>
      <c r="D962">
        <v>1</v>
      </c>
      <c r="E962" t="s">
        <v>1025</v>
      </c>
      <c r="F962" t="s">
        <v>1032</v>
      </c>
      <c r="G962" t="s">
        <v>1</v>
      </c>
      <c r="H962" t="s">
        <v>2</v>
      </c>
      <c r="I962" t="s">
        <v>1027</v>
      </c>
      <c r="J962" s="1">
        <v>46178</v>
      </c>
      <c r="K962" t="s">
        <v>1040</v>
      </c>
    </row>
    <row r="963" spans="1:11" x14ac:dyDescent="0.45">
      <c r="A963" t="s">
        <v>973</v>
      </c>
      <c r="B963" t="s">
        <v>1029</v>
      </c>
      <c r="C963">
        <v>62</v>
      </c>
      <c r="D963">
        <v>1</v>
      </c>
      <c r="E963" t="s">
        <v>1025</v>
      </c>
      <c r="F963" t="s">
        <v>1033</v>
      </c>
      <c r="G963" t="s">
        <v>1</v>
      </c>
      <c r="H963" t="s">
        <v>2</v>
      </c>
      <c r="I963" t="s">
        <v>1027</v>
      </c>
      <c r="J963" s="1">
        <v>46178</v>
      </c>
      <c r="K963" t="s">
        <v>1040</v>
      </c>
    </row>
    <row r="964" spans="1:11" x14ac:dyDescent="0.45">
      <c r="A964" t="s">
        <v>974</v>
      </c>
      <c r="B964" t="s">
        <v>1029</v>
      </c>
      <c r="C964">
        <v>48</v>
      </c>
      <c r="D964">
        <v>0</v>
      </c>
      <c r="E964" t="s">
        <v>1025</v>
      </c>
      <c r="F964" t="s">
        <v>1033</v>
      </c>
      <c r="G964" t="s">
        <v>1</v>
      </c>
      <c r="H964" t="s">
        <v>2</v>
      </c>
      <c r="I964" t="s">
        <v>1027</v>
      </c>
      <c r="J964" s="1">
        <v>46178</v>
      </c>
      <c r="K964" t="s">
        <v>1040</v>
      </c>
    </row>
    <row r="965" spans="1:11" x14ac:dyDescent="0.45">
      <c r="A965" t="s">
        <v>975</v>
      </c>
      <c r="B965" t="s">
        <v>1029</v>
      </c>
      <c r="C965">
        <v>50</v>
      </c>
      <c r="D965">
        <v>0</v>
      </c>
      <c r="E965" t="s">
        <v>1025</v>
      </c>
      <c r="F965" t="s">
        <v>1031</v>
      </c>
      <c r="G965" t="s">
        <v>1</v>
      </c>
      <c r="H965" t="s">
        <v>2</v>
      </c>
      <c r="I965" t="s">
        <v>1027</v>
      </c>
      <c r="J965" s="1">
        <v>46178</v>
      </c>
      <c r="K965" t="s">
        <v>1040</v>
      </c>
    </row>
    <row r="966" spans="1:11" x14ac:dyDescent="0.45">
      <c r="A966" t="s">
        <v>976</v>
      </c>
      <c r="B966" t="s">
        <v>1030</v>
      </c>
      <c r="C966">
        <v>31</v>
      </c>
      <c r="D966">
        <v>1</v>
      </c>
      <c r="E966" t="s">
        <v>1025</v>
      </c>
      <c r="F966" t="s">
        <v>1032</v>
      </c>
      <c r="G966" t="s">
        <v>1</v>
      </c>
      <c r="H966" t="s">
        <v>2</v>
      </c>
      <c r="I966" t="s">
        <v>1027</v>
      </c>
      <c r="J966" s="1">
        <v>46178</v>
      </c>
      <c r="K966" t="s">
        <v>1040</v>
      </c>
    </row>
    <row r="967" spans="1:11" x14ac:dyDescent="0.45">
      <c r="A967" t="s">
        <v>977</v>
      </c>
      <c r="B967" t="s">
        <v>1030</v>
      </c>
      <c r="C967">
        <v>40</v>
      </c>
      <c r="D967">
        <v>0</v>
      </c>
      <c r="E967" t="s">
        <v>1025</v>
      </c>
      <c r="F967" t="s">
        <v>1026</v>
      </c>
      <c r="G967" t="s">
        <v>1</v>
      </c>
      <c r="H967" t="s">
        <v>2</v>
      </c>
      <c r="I967" t="s">
        <v>1027</v>
      </c>
      <c r="J967" s="1">
        <v>46178</v>
      </c>
      <c r="K967" t="s">
        <v>1040</v>
      </c>
    </row>
    <row r="968" spans="1:11" x14ac:dyDescent="0.45">
      <c r="A968" t="s">
        <v>978</v>
      </c>
      <c r="B968" t="s">
        <v>1029</v>
      </c>
      <c r="C968">
        <v>60</v>
      </c>
      <c r="D968">
        <v>1</v>
      </c>
      <c r="E968" t="s">
        <v>1025</v>
      </c>
      <c r="F968" t="s">
        <v>1033</v>
      </c>
      <c r="G968" t="s">
        <v>1</v>
      </c>
      <c r="H968" t="s">
        <v>2</v>
      </c>
      <c r="I968" t="s">
        <v>1027</v>
      </c>
      <c r="J968" s="1">
        <v>46178</v>
      </c>
      <c r="K968" t="s">
        <v>1040</v>
      </c>
    </row>
    <row r="969" spans="1:11" x14ac:dyDescent="0.45">
      <c r="A969" t="s">
        <v>979</v>
      </c>
      <c r="B969" t="s">
        <v>1029</v>
      </c>
      <c r="C969">
        <v>61</v>
      </c>
      <c r="D969">
        <v>3</v>
      </c>
      <c r="E969" t="s">
        <v>1025</v>
      </c>
      <c r="F969" t="s">
        <v>1031</v>
      </c>
      <c r="G969" t="s">
        <v>1</v>
      </c>
      <c r="H969" t="s">
        <v>2</v>
      </c>
      <c r="I969" t="s">
        <v>1027</v>
      </c>
      <c r="J969" s="1">
        <v>46178</v>
      </c>
      <c r="K969" t="s">
        <v>1040</v>
      </c>
    </row>
    <row r="970" spans="1:11" x14ac:dyDescent="0.45">
      <c r="A970" t="s">
        <v>980</v>
      </c>
      <c r="B970" t="s">
        <v>1030</v>
      </c>
      <c r="C970">
        <v>44</v>
      </c>
      <c r="D970">
        <v>3</v>
      </c>
      <c r="E970" t="s">
        <v>1025</v>
      </c>
      <c r="F970" t="s">
        <v>1033</v>
      </c>
      <c r="G970" t="s">
        <v>1</v>
      </c>
      <c r="H970" t="s">
        <v>2</v>
      </c>
      <c r="I970" t="s">
        <v>1027</v>
      </c>
      <c r="J970" s="1">
        <v>46178</v>
      </c>
      <c r="K970" t="s">
        <v>1040</v>
      </c>
    </row>
    <row r="971" spans="1:11" x14ac:dyDescent="0.45">
      <c r="A971" t="s">
        <v>981</v>
      </c>
      <c r="B971" t="s">
        <v>1024</v>
      </c>
      <c r="C971">
        <v>13</v>
      </c>
      <c r="D971">
        <v>0</v>
      </c>
      <c r="E971" t="s">
        <v>1025</v>
      </c>
      <c r="F971" t="s">
        <v>1031</v>
      </c>
      <c r="G971" t="s">
        <v>1</v>
      </c>
      <c r="H971" t="s">
        <v>2</v>
      </c>
      <c r="I971" t="s">
        <v>1027</v>
      </c>
      <c r="J971" s="1">
        <v>46178</v>
      </c>
      <c r="K971" t="s">
        <v>1040</v>
      </c>
    </row>
    <row r="972" spans="1:11" x14ac:dyDescent="0.45">
      <c r="A972" t="s">
        <v>982</v>
      </c>
      <c r="B972" t="s">
        <v>1030</v>
      </c>
      <c r="C972">
        <v>32</v>
      </c>
      <c r="D972">
        <v>20</v>
      </c>
      <c r="E972" t="s">
        <v>1034</v>
      </c>
      <c r="F972" t="s">
        <v>1031</v>
      </c>
      <c r="G972" t="s">
        <v>1035</v>
      </c>
      <c r="H972" t="s">
        <v>3</v>
      </c>
      <c r="I972" t="s">
        <v>1027</v>
      </c>
      <c r="J972" s="1">
        <v>46178</v>
      </c>
      <c r="K972" t="s">
        <v>1040</v>
      </c>
    </row>
    <row r="973" spans="1:11" x14ac:dyDescent="0.45">
      <c r="A973" t="s">
        <v>983</v>
      </c>
      <c r="B973" t="s">
        <v>1029</v>
      </c>
      <c r="C973">
        <v>62</v>
      </c>
      <c r="D973">
        <v>35</v>
      </c>
      <c r="E973" t="s">
        <v>1034</v>
      </c>
      <c r="F973" t="s">
        <v>1031</v>
      </c>
      <c r="G973" t="s">
        <v>1035</v>
      </c>
      <c r="H973" t="s">
        <v>3</v>
      </c>
      <c r="I973" t="s">
        <v>1027</v>
      </c>
      <c r="J973" s="1">
        <v>46178</v>
      </c>
      <c r="K973" t="s">
        <v>1040</v>
      </c>
    </row>
    <row r="974" spans="1:11" x14ac:dyDescent="0.45">
      <c r="A974" t="s">
        <v>984</v>
      </c>
      <c r="B974" t="s">
        <v>1030</v>
      </c>
      <c r="C974">
        <v>32</v>
      </c>
      <c r="D974">
        <v>2</v>
      </c>
      <c r="E974" t="s">
        <v>1025</v>
      </c>
      <c r="F974" t="s">
        <v>1031</v>
      </c>
      <c r="G974" t="s">
        <v>1</v>
      </c>
      <c r="H974" t="s">
        <v>2</v>
      </c>
      <c r="I974" t="s">
        <v>1027</v>
      </c>
      <c r="J974" s="1">
        <v>46178</v>
      </c>
      <c r="K974" t="s">
        <v>1040</v>
      </c>
    </row>
    <row r="975" spans="1:11" x14ac:dyDescent="0.45">
      <c r="A975" t="s">
        <v>985</v>
      </c>
      <c r="B975" t="s">
        <v>1030</v>
      </c>
      <c r="C975">
        <v>33</v>
      </c>
      <c r="D975">
        <v>30</v>
      </c>
      <c r="E975" t="s">
        <v>1034</v>
      </c>
      <c r="F975" t="s">
        <v>1026</v>
      </c>
      <c r="G975" t="s">
        <v>1035</v>
      </c>
      <c r="H975" t="s">
        <v>3</v>
      </c>
      <c r="I975" t="s">
        <v>1027</v>
      </c>
      <c r="J975" s="1">
        <v>46178</v>
      </c>
      <c r="K975" t="s">
        <v>1040</v>
      </c>
    </row>
    <row r="976" spans="1:11" x14ac:dyDescent="0.45">
      <c r="A976" t="s">
        <v>986</v>
      </c>
      <c r="B976" t="s">
        <v>1030</v>
      </c>
      <c r="C976">
        <v>36</v>
      </c>
      <c r="D976">
        <v>1</v>
      </c>
      <c r="E976" t="s">
        <v>1025</v>
      </c>
      <c r="F976" t="s">
        <v>1033</v>
      </c>
      <c r="G976" t="s">
        <v>1</v>
      </c>
      <c r="H976" t="s">
        <v>2</v>
      </c>
      <c r="I976" t="s">
        <v>1027</v>
      </c>
      <c r="J976" s="1">
        <v>46178</v>
      </c>
      <c r="K976" t="s">
        <v>1040</v>
      </c>
    </row>
    <row r="977" spans="1:11" x14ac:dyDescent="0.45">
      <c r="A977" t="s">
        <v>987</v>
      </c>
      <c r="B977" t="s">
        <v>1024</v>
      </c>
      <c r="C977">
        <v>13</v>
      </c>
      <c r="D977">
        <v>1</v>
      </c>
      <c r="E977" t="s">
        <v>1025</v>
      </c>
      <c r="F977" t="s">
        <v>1032</v>
      </c>
      <c r="G977" t="s">
        <v>1</v>
      </c>
      <c r="H977" t="s">
        <v>2</v>
      </c>
      <c r="I977" t="s">
        <v>1027</v>
      </c>
      <c r="J977" s="1">
        <v>46178</v>
      </c>
      <c r="K977" t="s">
        <v>1040</v>
      </c>
    </row>
    <row r="978" spans="1:11" x14ac:dyDescent="0.45">
      <c r="A978" t="s">
        <v>988</v>
      </c>
      <c r="B978" t="s">
        <v>1024</v>
      </c>
      <c r="C978">
        <v>12</v>
      </c>
      <c r="D978">
        <v>4</v>
      </c>
      <c r="E978" t="s">
        <v>1025</v>
      </c>
      <c r="F978" t="s">
        <v>1031</v>
      </c>
      <c r="G978" t="s">
        <v>1</v>
      </c>
      <c r="H978" t="s">
        <v>2</v>
      </c>
      <c r="I978" t="s">
        <v>1027</v>
      </c>
      <c r="J978" s="1">
        <v>46178</v>
      </c>
      <c r="K978" t="s">
        <v>1040</v>
      </c>
    </row>
    <row r="979" spans="1:11" x14ac:dyDescent="0.45">
      <c r="A979" t="s">
        <v>989</v>
      </c>
      <c r="B979" t="s">
        <v>1029</v>
      </c>
      <c r="C979">
        <v>63</v>
      </c>
      <c r="D979">
        <v>2</v>
      </c>
      <c r="E979" t="s">
        <v>1025</v>
      </c>
      <c r="F979" t="s">
        <v>1031</v>
      </c>
      <c r="G979" t="s">
        <v>1</v>
      </c>
      <c r="H979" t="s">
        <v>2</v>
      </c>
      <c r="I979" t="s">
        <v>1027</v>
      </c>
      <c r="J979" s="1">
        <v>46178</v>
      </c>
      <c r="K979" t="s">
        <v>1040</v>
      </c>
    </row>
    <row r="980" spans="1:11" x14ac:dyDescent="0.45">
      <c r="A980" t="s">
        <v>990</v>
      </c>
      <c r="B980" t="s">
        <v>1030</v>
      </c>
      <c r="C980">
        <v>47</v>
      </c>
      <c r="D980">
        <v>0</v>
      </c>
      <c r="E980" t="s">
        <v>1025</v>
      </c>
      <c r="F980" t="s">
        <v>1031</v>
      </c>
      <c r="G980" t="s">
        <v>1</v>
      </c>
      <c r="H980" t="s">
        <v>2</v>
      </c>
      <c r="I980" t="s">
        <v>1027</v>
      </c>
      <c r="J980" s="1">
        <v>46178</v>
      </c>
      <c r="K980" t="s">
        <v>1040</v>
      </c>
    </row>
    <row r="981" spans="1:11" x14ac:dyDescent="0.45">
      <c r="A981" t="s">
        <v>991</v>
      </c>
      <c r="B981" t="s">
        <v>1024</v>
      </c>
      <c r="C981">
        <v>21</v>
      </c>
      <c r="D981">
        <v>1</v>
      </c>
      <c r="E981" t="s">
        <v>1025</v>
      </c>
      <c r="F981" t="s">
        <v>1026</v>
      </c>
      <c r="G981" t="s">
        <v>1</v>
      </c>
      <c r="H981" t="s">
        <v>2</v>
      </c>
      <c r="I981" t="s">
        <v>1027</v>
      </c>
      <c r="J981" s="1">
        <v>46178</v>
      </c>
      <c r="K981" t="s">
        <v>1040</v>
      </c>
    </row>
    <row r="982" spans="1:11" x14ac:dyDescent="0.45">
      <c r="A982" t="s">
        <v>992</v>
      </c>
      <c r="B982" t="s">
        <v>1029</v>
      </c>
      <c r="C982">
        <v>49</v>
      </c>
      <c r="D982">
        <v>2</v>
      </c>
      <c r="E982" t="s">
        <v>1025</v>
      </c>
      <c r="F982" t="s">
        <v>1033</v>
      </c>
      <c r="G982" t="s">
        <v>1</v>
      </c>
      <c r="H982" t="s">
        <v>2</v>
      </c>
      <c r="I982" t="s">
        <v>1027</v>
      </c>
      <c r="J982" s="1">
        <v>46178</v>
      </c>
      <c r="K982" t="s">
        <v>1040</v>
      </c>
    </row>
    <row r="983" spans="1:11" x14ac:dyDescent="0.45">
      <c r="A983" t="s">
        <v>993</v>
      </c>
      <c r="B983" t="s">
        <v>1029</v>
      </c>
      <c r="C983">
        <v>48</v>
      </c>
      <c r="D983">
        <v>0</v>
      </c>
      <c r="E983" t="s">
        <v>1025</v>
      </c>
      <c r="F983" t="s">
        <v>1033</v>
      </c>
      <c r="G983" t="s">
        <v>1</v>
      </c>
      <c r="H983" t="s">
        <v>2</v>
      </c>
      <c r="I983" t="s">
        <v>1027</v>
      </c>
      <c r="J983" s="1">
        <v>46178</v>
      </c>
      <c r="K983" t="s">
        <v>1040</v>
      </c>
    </row>
    <row r="984" spans="1:11" x14ac:dyDescent="0.45">
      <c r="A984" t="s">
        <v>994</v>
      </c>
      <c r="B984" t="s">
        <v>1029</v>
      </c>
      <c r="C984">
        <v>53</v>
      </c>
      <c r="D984">
        <v>5</v>
      </c>
      <c r="E984" t="s">
        <v>1025</v>
      </c>
      <c r="F984" t="s">
        <v>1033</v>
      </c>
      <c r="G984" t="s">
        <v>1</v>
      </c>
      <c r="H984" t="s">
        <v>2</v>
      </c>
      <c r="I984" t="s">
        <v>1027</v>
      </c>
      <c r="J984" s="1">
        <v>46178</v>
      </c>
      <c r="K984" t="s">
        <v>1040</v>
      </c>
    </row>
    <row r="985" spans="1:11" x14ac:dyDescent="0.45">
      <c r="A985" t="s">
        <v>995</v>
      </c>
      <c r="B985" t="s">
        <v>1030</v>
      </c>
      <c r="C985">
        <v>35</v>
      </c>
      <c r="D985">
        <v>1</v>
      </c>
      <c r="E985" t="s">
        <v>1025</v>
      </c>
      <c r="F985" t="s">
        <v>1026</v>
      </c>
      <c r="G985" t="s">
        <v>1</v>
      </c>
      <c r="H985" t="s">
        <v>2</v>
      </c>
      <c r="I985" t="s">
        <v>1027</v>
      </c>
      <c r="J985" s="1">
        <v>46178</v>
      </c>
      <c r="K985" t="s">
        <v>1040</v>
      </c>
    </row>
    <row r="986" spans="1:11" x14ac:dyDescent="0.45">
      <c r="A986" t="s">
        <v>996</v>
      </c>
      <c r="B986" t="s">
        <v>1029</v>
      </c>
      <c r="C986">
        <v>47</v>
      </c>
      <c r="D986">
        <v>1</v>
      </c>
      <c r="E986" t="s">
        <v>1025</v>
      </c>
      <c r="F986" t="s">
        <v>1033</v>
      </c>
      <c r="G986" t="s">
        <v>1</v>
      </c>
      <c r="H986" t="s">
        <v>2</v>
      </c>
      <c r="I986" t="s">
        <v>1027</v>
      </c>
      <c r="J986" s="1">
        <v>46178</v>
      </c>
      <c r="K986" t="s">
        <v>1040</v>
      </c>
    </row>
    <row r="987" spans="1:11" x14ac:dyDescent="0.45">
      <c r="A987" t="s">
        <v>997</v>
      </c>
      <c r="B987" t="s">
        <v>1030</v>
      </c>
      <c r="C987">
        <v>36</v>
      </c>
      <c r="D987">
        <v>1</v>
      </c>
      <c r="E987" t="s">
        <v>1025</v>
      </c>
      <c r="F987" t="s">
        <v>1031</v>
      </c>
      <c r="G987" t="s">
        <v>1</v>
      </c>
      <c r="H987" t="s">
        <v>2</v>
      </c>
      <c r="I987" t="s">
        <v>1027</v>
      </c>
      <c r="J987" s="1">
        <v>46178</v>
      </c>
      <c r="K987" t="s">
        <v>1040</v>
      </c>
    </row>
    <row r="988" spans="1:11" x14ac:dyDescent="0.45">
      <c r="A988" t="s">
        <v>998</v>
      </c>
      <c r="B988" t="s">
        <v>1024</v>
      </c>
      <c r="C988">
        <v>12</v>
      </c>
      <c r="D988">
        <v>0</v>
      </c>
      <c r="E988" t="s">
        <v>1025</v>
      </c>
      <c r="F988" t="s">
        <v>1026</v>
      </c>
      <c r="G988" t="s">
        <v>1</v>
      </c>
      <c r="H988" t="s">
        <v>2</v>
      </c>
      <c r="I988" t="s">
        <v>1027</v>
      </c>
      <c r="J988" s="1">
        <v>46178</v>
      </c>
      <c r="K988" t="s">
        <v>1040</v>
      </c>
    </row>
    <row r="989" spans="1:11" x14ac:dyDescent="0.45">
      <c r="A989" t="s">
        <v>999</v>
      </c>
      <c r="B989" t="s">
        <v>1024</v>
      </c>
      <c r="C989">
        <v>16</v>
      </c>
      <c r="D989">
        <v>0</v>
      </c>
      <c r="E989" t="s">
        <v>1025</v>
      </c>
      <c r="F989" t="s">
        <v>1031</v>
      </c>
      <c r="G989" t="s">
        <v>1</v>
      </c>
      <c r="H989" t="s">
        <v>2</v>
      </c>
      <c r="I989" t="s">
        <v>1027</v>
      </c>
      <c r="J989" s="1">
        <v>46178</v>
      </c>
      <c r="K989" t="s">
        <v>1040</v>
      </c>
    </row>
    <row r="990" spans="1:11" x14ac:dyDescent="0.45">
      <c r="A990" t="s">
        <v>1000</v>
      </c>
      <c r="B990" t="s">
        <v>1024</v>
      </c>
      <c r="C990">
        <v>11</v>
      </c>
      <c r="D990">
        <v>5</v>
      </c>
      <c r="E990" t="s">
        <v>1025</v>
      </c>
      <c r="F990" t="s">
        <v>1026</v>
      </c>
      <c r="G990" t="s">
        <v>1</v>
      </c>
      <c r="H990" t="s">
        <v>2</v>
      </c>
      <c r="I990" t="s">
        <v>1027</v>
      </c>
      <c r="J990" s="1">
        <v>46178</v>
      </c>
      <c r="K990" t="s">
        <v>1040</v>
      </c>
    </row>
    <row r="991" spans="1:11" x14ac:dyDescent="0.45">
      <c r="A991" t="s">
        <v>1001</v>
      </c>
      <c r="B991" t="s">
        <v>1024</v>
      </c>
      <c r="C991">
        <v>18</v>
      </c>
      <c r="D991">
        <v>0</v>
      </c>
      <c r="E991" t="s">
        <v>1025</v>
      </c>
      <c r="F991" t="s">
        <v>1031</v>
      </c>
      <c r="G991" t="s">
        <v>1</v>
      </c>
      <c r="H991" t="s">
        <v>2</v>
      </c>
      <c r="I991" t="s">
        <v>1027</v>
      </c>
      <c r="J991" s="1">
        <v>46178</v>
      </c>
      <c r="K991" t="s">
        <v>1040</v>
      </c>
    </row>
    <row r="992" spans="1:11" x14ac:dyDescent="0.45">
      <c r="A992" t="s">
        <v>1002</v>
      </c>
      <c r="B992" t="s">
        <v>1024</v>
      </c>
      <c r="C992">
        <v>21</v>
      </c>
      <c r="D992">
        <v>1</v>
      </c>
      <c r="E992" t="s">
        <v>1025</v>
      </c>
      <c r="F992" t="s">
        <v>1033</v>
      </c>
      <c r="G992" t="s">
        <v>1</v>
      </c>
      <c r="H992" t="s">
        <v>2</v>
      </c>
      <c r="I992" t="s">
        <v>1027</v>
      </c>
      <c r="J992" s="1">
        <v>46178</v>
      </c>
      <c r="K992" t="s">
        <v>1040</v>
      </c>
    </row>
    <row r="993" spans="1:11" x14ac:dyDescent="0.45">
      <c r="A993" t="s">
        <v>1003</v>
      </c>
      <c r="B993" t="s">
        <v>1030</v>
      </c>
      <c r="C993">
        <v>30</v>
      </c>
      <c r="D993">
        <v>1</v>
      </c>
      <c r="E993" t="s">
        <v>1025</v>
      </c>
      <c r="F993" t="s">
        <v>1032</v>
      </c>
      <c r="G993" t="s">
        <v>1</v>
      </c>
      <c r="H993" t="s">
        <v>2</v>
      </c>
      <c r="I993" t="s">
        <v>1027</v>
      </c>
      <c r="J993" s="1">
        <v>46178</v>
      </c>
      <c r="K993" t="s">
        <v>1040</v>
      </c>
    </row>
    <row r="994" spans="1:11" x14ac:dyDescent="0.45">
      <c r="A994" t="s">
        <v>1004</v>
      </c>
      <c r="B994" t="s">
        <v>1029</v>
      </c>
      <c r="C994">
        <v>60</v>
      </c>
      <c r="D994">
        <v>0</v>
      </c>
      <c r="E994" t="s">
        <v>1025</v>
      </c>
      <c r="F994" t="s">
        <v>1033</v>
      </c>
      <c r="G994" t="s">
        <v>1</v>
      </c>
      <c r="H994" t="s">
        <v>2</v>
      </c>
      <c r="I994" t="s">
        <v>1027</v>
      </c>
      <c r="J994" s="1">
        <v>46178</v>
      </c>
      <c r="K994" t="s">
        <v>1040</v>
      </c>
    </row>
    <row r="995" spans="1:11" x14ac:dyDescent="0.45">
      <c r="A995" t="s">
        <v>1005</v>
      </c>
      <c r="B995" t="s">
        <v>1024</v>
      </c>
      <c r="C995">
        <v>18</v>
      </c>
      <c r="D995">
        <v>2</v>
      </c>
      <c r="E995" t="s">
        <v>1025</v>
      </c>
      <c r="F995" t="s">
        <v>1032</v>
      </c>
      <c r="G995" t="s">
        <v>1</v>
      </c>
      <c r="H995" t="s">
        <v>2</v>
      </c>
      <c r="I995" t="s">
        <v>1027</v>
      </c>
      <c r="J995" s="1">
        <v>46178</v>
      </c>
      <c r="K995" t="s">
        <v>1040</v>
      </c>
    </row>
    <row r="996" spans="1:11" x14ac:dyDescent="0.45">
      <c r="A996" t="s">
        <v>1006</v>
      </c>
      <c r="B996" t="s">
        <v>1029</v>
      </c>
      <c r="C996">
        <v>60</v>
      </c>
      <c r="D996">
        <v>0</v>
      </c>
      <c r="E996" t="s">
        <v>1025</v>
      </c>
      <c r="F996" t="s">
        <v>1033</v>
      </c>
      <c r="G996" t="s">
        <v>1</v>
      </c>
      <c r="H996" t="s">
        <v>2</v>
      </c>
      <c r="I996" t="s">
        <v>1027</v>
      </c>
      <c r="J996" s="1">
        <v>46178</v>
      </c>
      <c r="K996" t="s">
        <v>1040</v>
      </c>
    </row>
    <row r="997" spans="1:11" x14ac:dyDescent="0.45">
      <c r="A997" t="s">
        <v>1007</v>
      </c>
      <c r="B997" t="s">
        <v>1024</v>
      </c>
      <c r="C997">
        <v>18</v>
      </c>
      <c r="D997">
        <v>0</v>
      </c>
      <c r="E997" t="s">
        <v>1025</v>
      </c>
      <c r="F997" t="s">
        <v>1033</v>
      </c>
      <c r="G997" t="s">
        <v>1</v>
      </c>
      <c r="H997" t="s">
        <v>2</v>
      </c>
      <c r="I997" t="s">
        <v>1027</v>
      </c>
      <c r="J997" s="1">
        <v>46178</v>
      </c>
      <c r="K997" t="s">
        <v>1040</v>
      </c>
    </row>
    <row r="998" spans="1:11" x14ac:dyDescent="0.45">
      <c r="A998" t="s">
        <v>1008</v>
      </c>
      <c r="B998" t="s">
        <v>1029</v>
      </c>
      <c r="C998">
        <v>63</v>
      </c>
      <c r="D998">
        <v>2</v>
      </c>
      <c r="E998" t="s">
        <v>1025</v>
      </c>
      <c r="F998" t="s">
        <v>1026</v>
      </c>
      <c r="G998" t="s">
        <v>1</v>
      </c>
      <c r="H998" t="s">
        <v>2</v>
      </c>
      <c r="I998" t="s">
        <v>1027</v>
      </c>
      <c r="J998" s="1">
        <v>46178</v>
      </c>
      <c r="K998" t="s">
        <v>1040</v>
      </c>
    </row>
    <row r="999" spans="1:11" x14ac:dyDescent="0.45">
      <c r="A999" t="s">
        <v>1009</v>
      </c>
      <c r="B999" t="s">
        <v>1030</v>
      </c>
      <c r="C999">
        <v>41</v>
      </c>
      <c r="D999">
        <v>0</v>
      </c>
      <c r="E999" t="s">
        <v>1025</v>
      </c>
      <c r="F999" t="s">
        <v>1033</v>
      </c>
      <c r="G999" t="s">
        <v>1</v>
      </c>
      <c r="H999" t="s">
        <v>2</v>
      </c>
      <c r="I999" t="s">
        <v>1027</v>
      </c>
      <c r="J999" s="1">
        <v>46178</v>
      </c>
      <c r="K999" t="s">
        <v>1040</v>
      </c>
    </row>
    <row r="1000" spans="1:11" x14ac:dyDescent="0.45">
      <c r="A1000" t="s">
        <v>1010</v>
      </c>
      <c r="B1000" t="s">
        <v>1024</v>
      </c>
      <c r="C1000">
        <v>10</v>
      </c>
      <c r="D1000">
        <v>2</v>
      </c>
      <c r="E1000" t="s">
        <v>1025</v>
      </c>
      <c r="F1000" t="s">
        <v>1031</v>
      </c>
      <c r="G1000" t="s">
        <v>1</v>
      </c>
      <c r="H1000" t="s">
        <v>2</v>
      </c>
      <c r="I1000" t="s">
        <v>1027</v>
      </c>
      <c r="J1000" s="1">
        <v>46178</v>
      </c>
      <c r="K1000" t="s">
        <v>1040</v>
      </c>
    </row>
    <row r="1001" spans="1:11" x14ac:dyDescent="0.45">
      <c r="A1001" t="s">
        <v>1011</v>
      </c>
      <c r="B1001" t="s">
        <v>1029</v>
      </c>
      <c r="C1001">
        <v>63</v>
      </c>
      <c r="D1001">
        <v>0</v>
      </c>
      <c r="E1001" t="s">
        <v>1025</v>
      </c>
      <c r="F1001" t="s">
        <v>1026</v>
      </c>
      <c r="G1001" t="s">
        <v>1</v>
      </c>
      <c r="H1001" t="s">
        <v>2</v>
      </c>
      <c r="I1001" t="s">
        <v>1027</v>
      </c>
      <c r="J1001" s="1">
        <v>46178</v>
      </c>
      <c r="K1001" t="s">
        <v>1040</v>
      </c>
    </row>
    <row r="1002" spans="1:11" x14ac:dyDescent="0.45">
      <c r="A1002" t="s">
        <v>1012</v>
      </c>
      <c r="B1002" t="s">
        <v>1029</v>
      </c>
      <c r="C1002">
        <v>54</v>
      </c>
      <c r="D1002">
        <v>0</v>
      </c>
      <c r="E1002" t="s">
        <v>1025</v>
      </c>
      <c r="F1002" t="s">
        <v>1033</v>
      </c>
      <c r="G1002" t="s">
        <v>1</v>
      </c>
      <c r="H1002" t="s">
        <v>2</v>
      </c>
      <c r="I1002" t="s">
        <v>1027</v>
      </c>
      <c r="J1002" s="1">
        <v>46178</v>
      </c>
      <c r="K1002" t="s">
        <v>1040</v>
      </c>
    </row>
    <row r="1003" spans="1:11" x14ac:dyDescent="0.45">
      <c r="A1003" t="s">
        <v>1013</v>
      </c>
      <c r="B1003" t="s">
        <v>1030</v>
      </c>
      <c r="C1003">
        <v>33</v>
      </c>
      <c r="D1003">
        <v>1</v>
      </c>
      <c r="E1003" t="s">
        <v>1025</v>
      </c>
      <c r="F1003" t="s">
        <v>1033</v>
      </c>
      <c r="G1003" t="s">
        <v>1</v>
      </c>
      <c r="H1003" t="s">
        <v>2</v>
      </c>
      <c r="I1003" t="s">
        <v>1027</v>
      </c>
      <c r="J1003" s="1">
        <v>46178</v>
      </c>
      <c r="K1003" t="s">
        <v>1040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1599-F43C-4748-B85E-45567D648511}">
  <dimension ref="A1:D6"/>
  <sheetViews>
    <sheetView workbookViewId="0">
      <selection activeCell="B5" sqref="B5"/>
    </sheetView>
  </sheetViews>
  <sheetFormatPr defaultRowHeight="14.25" x14ac:dyDescent="0.45"/>
  <cols>
    <col min="1" max="1" width="22.19921875" customWidth="1"/>
    <col min="2" max="2" width="20.86328125" customWidth="1"/>
    <col min="3" max="3" width="17.6640625" customWidth="1"/>
    <col min="4" max="4" width="17.06640625" bestFit="1" customWidth="1"/>
  </cols>
  <sheetData>
    <row r="1" spans="1:4" ht="28.5" x14ac:dyDescent="0.85">
      <c r="A1" s="3" t="s">
        <v>8</v>
      </c>
      <c r="B1" s="2"/>
      <c r="C1" s="2"/>
      <c r="D1" s="2"/>
    </row>
    <row r="3" spans="1:4" x14ac:dyDescent="0.45">
      <c r="A3" t="s">
        <v>1015</v>
      </c>
      <c r="B3" t="s">
        <v>1065</v>
      </c>
      <c r="C3" t="s">
        <v>1066</v>
      </c>
      <c r="D3" t="s">
        <v>1067</v>
      </c>
    </row>
    <row r="4" spans="1:4" x14ac:dyDescent="0.45">
      <c r="A4" t="s">
        <v>1030</v>
      </c>
      <c r="B4">
        <v>35</v>
      </c>
      <c r="C4" t="s">
        <v>4</v>
      </c>
      <c r="D4" t="s">
        <v>1068</v>
      </c>
    </row>
    <row r="5" spans="1:4" x14ac:dyDescent="0.45">
      <c r="A5" t="s">
        <v>1024</v>
      </c>
      <c r="B5">
        <v>20</v>
      </c>
      <c r="C5" t="s">
        <v>5</v>
      </c>
      <c r="D5" t="s">
        <v>1069</v>
      </c>
    </row>
    <row r="6" spans="1:4" x14ac:dyDescent="0.45">
      <c r="A6" t="s">
        <v>1029</v>
      </c>
      <c r="B6">
        <v>50</v>
      </c>
      <c r="C6" t="s">
        <v>6</v>
      </c>
      <c r="D6" t="s">
        <v>1070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1DA8E2-2837-47C9-B090-98766BBC77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Analyzer Dashboard</vt:lpstr>
      <vt:lpstr>Pivots</vt:lpstr>
      <vt:lpstr>Lab_Data</vt:lpstr>
      <vt:lpstr>Machine_SLA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 Badia</dc:creator>
  <cp:lastModifiedBy>Alejandra Badia</cp:lastModifiedBy>
  <dcterms:created xsi:type="dcterms:W3CDTF">2026-06-27T17:59:37Z</dcterms:created>
  <dcterms:modified xsi:type="dcterms:W3CDTF">2026-07-03T19:59:55Z</dcterms:modified>
</cp:coreProperties>
</file>